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esunfarms-my.sharepoint.com/personal/dswinden_puresunfarms_com/Documents/Documents/Personal Folder/Hockey Stuff/"/>
    </mc:Choice>
  </mc:AlternateContent>
  <xr:revisionPtr revIDLastSave="18" documentId="8_{C73DBE0E-9118-43A8-95CD-430F758D87C7}" xr6:coauthVersionLast="47" xr6:coauthVersionMax="47" xr10:uidLastSave="{31FDDBFF-E3C4-4646-A332-CCED4A6790E9}"/>
  <bookViews>
    <workbookView xWindow="28680" yWindow="-120" windowWidth="29040" windowHeight="16440" activeTab="2" xr2:uid="{4B5E6E2C-0233-4E0C-888D-380EF7CB4DF3}"/>
  </bookViews>
  <sheets>
    <sheet name="Team Map" sheetId="1" r:id="rId1"/>
    <sheet name="Season Map" sheetId="2" r:id="rId2"/>
    <sheet name="Player Database" sheetId="3" r:id="rId3"/>
  </sheets>
  <definedNames>
    <definedName name="_xlnm._FilterDatabase" localSheetId="2" hidden="1">'Player Database'!$A$1:$H$259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3" l="1"/>
  <c r="F199" i="3"/>
  <c r="B226" i="3"/>
  <c r="A226" i="3" s="1"/>
  <c r="B177" i="3"/>
  <c r="B116" i="3"/>
  <c r="A116" i="3" s="1"/>
  <c r="B108" i="3"/>
  <c r="A108" i="3" s="1"/>
  <c r="B61" i="3"/>
  <c r="A61" i="3" s="1"/>
  <c r="B56" i="3"/>
  <c r="B51" i="3"/>
  <c r="B6" i="3"/>
  <c r="A6" i="3" s="1"/>
  <c r="B8" i="3"/>
  <c r="B11" i="3"/>
  <c r="A11" i="3" s="1"/>
  <c r="B13" i="3"/>
  <c r="B15" i="3"/>
  <c r="A15" i="3" s="1"/>
  <c r="B16" i="3"/>
  <c r="A16" i="3" s="1"/>
  <c r="B17" i="3"/>
  <c r="A17" i="3" s="1"/>
  <c r="B18" i="3"/>
  <c r="A18" i="3" s="1"/>
  <c r="B19" i="3"/>
  <c r="A19" i="3" s="1"/>
  <c r="B20" i="3"/>
  <c r="A20" i="3" s="1"/>
  <c r="B21" i="3"/>
  <c r="A21" i="3" s="1"/>
  <c r="B22" i="3"/>
  <c r="A126" i="3" s="1"/>
  <c r="B29" i="3"/>
  <c r="A29" i="3" s="1"/>
  <c r="B30" i="3"/>
  <c r="A30" i="3" s="1"/>
  <c r="B32" i="3"/>
  <c r="A32" i="3" s="1"/>
  <c r="B33" i="3"/>
  <c r="A33" i="3" s="1"/>
  <c r="B34" i="3"/>
  <c r="A34" i="3" s="1"/>
  <c r="B35" i="3"/>
  <c r="A35" i="3" s="1"/>
  <c r="B39" i="3"/>
  <c r="A39" i="3" s="1"/>
  <c r="B40" i="3"/>
  <c r="A40" i="3" s="1"/>
  <c r="B41" i="3"/>
  <c r="B43" i="3"/>
  <c r="A43" i="3" s="1"/>
  <c r="B49" i="3"/>
  <c r="A49" i="3" s="1"/>
  <c r="B50" i="3"/>
  <c r="A50" i="3" s="1"/>
  <c r="B57" i="3"/>
  <c r="A57" i="3" s="1"/>
  <c r="B60" i="3"/>
  <c r="A60" i="3" s="1"/>
  <c r="B64" i="3"/>
  <c r="B65" i="3"/>
  <c r="B69" i="3"/>
  <c r="B71" i="3"/>
  <c r="A71" i="3" s="1"/>
  <c r="B73" i="3"/>
  <c r="A73" i="3" s="1"/>
  <c r="B74" i="3"/>
  <c r="A74" i="3" s="1"/>
  <c r="B76" i="3"/>
  <c r="A76" i="3" s="1"/>
  <c r="B77" i="3"/>
  <c r="A77" i="3" s="1"/>
  <c r="B78" i="3"/>
  <c r="A78" i="3" s="1"/>
  <c r="B84" i="3"/>
  <c r="B85" i="3"/>
  <c r="A85" i="3" s="1"/>
  <c r="B86" i="3"/>
  <c r="A86" i="3" s="1"/>
  <c r="B87" i="3"/>
  <c r="A87" i="3" s="1"/>
  <c r="B90" i="3"/>
  <c r="A90" i="3" s="1"/>
  <c r="B91" i="3"/>
  <c r="A91" i="3" s="1"/>
  <c r="B127" i="3"/>
  <c r="A127" i="3" s="1"/>
  <c r="B102" i="3"/>
  <c r="A102" i="3" s="1"/>
  <c r="B103" i="3"/>
  <c r="A103" i="3" s="1"/>
  <c r="B104" i="3"/>
  <c r="A104" i="3" s="1"/>
  <c r="B105" i="3"/>
  <c r="A105" i="3" s="1"/>
  <c r="B106" i="3"/>
  <c r="B109" i="3"/>
  <c r="A109" i="3" s="1"/>
  <c r="B110" i="3"/>
  <c r="A110" i="3" s="1"/>
  <c r="B111" i="3"/>
  <c r="B112" i="3"/>
  <c r="B114" i="3"/>
  <c r="A114" i="3" s="1"/>
  <c r="B115" i="3"/>
  <c r="A115" i="3" s="1"/>
  <c r="B118" i="3"/>
  <c r="A118" i="3" s="1"/>
  <c r="B119" i="3"/>
  <c r="A119" i="3" s="1"/>
  <c r="B122" i="3"/>
  <c r="A122" i="3" s="1"/>
  <c r="B124" i="3"/>
  <c r="B125" i="3"/>
  <c r="B126" i="3"/>
  <c r="B130" i="3"/>
  <c r="A130" i="3" s="1"/>
  <c r="B132" i="3"/>
  <c r="A132" i="3" s="1"/>
  <c r="B133" i="3"/>
  <c r="A133" i="3" s="1"/>
  <c r="B134" i="3"/>
  <c r="A134" i="3" s="1"/>
  <c r="B135" i="3"/>
  <c r="B136" i="3"/>
  <c r="A136" i="3" s="1"/>
  <c r="B137" i="3"/>
  <c r="A137" i="3" s="1"/>
  <c r="B138" i="3"/>
  <c r="A138" i="3" s="1"/>
  <c r="B139" i="3"/>
  <c r="A139" i="3" s="1"/>
  <c r="B141" i="3"/>
  <c r="A141" i="3" s="1"/>
  <c r="B142" i="3"/>
  <c r="A142" i="3" s="1"/>
  <c r="B148" i="3"/>
  <c r="B149" i="3"/>
  <c r="B150" i="3"/>
  <c r="A150" i="3" s="1"/>
  <c r="B151" i="3"/>
  <c r="A151" i="3" s="1"/>
  <c r="B154" i="3"/>
  <c r="B157" i="3"/>
  <c r="A157" i="3" s="1"/>
  <c r="B156" i="3"/>
  <c r="A156" i="3" s="1"/>
  <c r="B160" i="3"/>
  <c r="A160" i="3" s="1"/>
  <c r="B163" i="3"/>
  <c r="B164" i="3"/>
  <c r="A164" i="3" s="1"/>
  <c r="B171" i="3"/>
  <c r="A171" i="3" s="1"/>
  <c r="B165" i="3"/>
  <c r="A165" i="3" s="1"/>
  <c r="B168" i="3"/>
  <c r="B169" i="3"/>
  <c r="A169" i="3" s="1"/>
  <c r="B170" i="3"/>
  <c r="A170" i="3" s="1"/>
  <c r="B175" i="3"/>
  <c r="A175" i="3" s="1"/>
  <c r="B184" i="3"/>
  <c r="A184" i="3" s="1"/>
  <c r="B186" i="3"/>
  <c r="A186" i="3" s="1"/>
  <c r="B189" i="3"/>
  <c r="A189" i="3" s="1"/>
  <c r="B190" i="3"/>
  <c r="A190" i="3" s="1"/>
  <c r="B199" i="3"/>
  <c r="A199" i="3" s="1"/>
  <c r="B200" i="3"/>
  <c r="A200" i="3" s="1"/>
  <c r="B201" i="3"/>
  <c r="A201" i="3" s="1"/>
  <c r="B202" i="3"/>
  <c r="A202" i="3" s="1"/>
  <c r="B204" i="3"/>
  <c r="A204" i="3" s="1"/>
  <c r="B205" i="3"/>
  <c r="A205" i="3" s="1"/>
  <c r="B206" i="3"/>
  <c r="A206" i="3" s="1"/>
  <c r="B207" i="3"/>
  <c r="A207" i="3" s="1"/>
  <c r="B208" i="3"/>
  <c r="B209" i="3"/>
  <c r="B210" i="3"/>
  <c r="B211" i="3"/>
  <c r="A211" i="3" s="1"/>
  <c r="B213" i="3"/>
  <c r="A213" i="3" s="1"/>
  <c r="B214" i="3"/>
  <c r="A214" i="3" s="1"/>
  <c r="B216" i="3"/>
  <c r="A216" i="3" s="1"/>
  <c r="B217" i="3"/>
  <c r="A217" i="3" s="1"/>
  <c r="B218" i="3"/>
  <c r="B219" i="3"/>
  <c r="A219" i="3" s="1"/>
  <c r="B222" i="3"/>
  <c r="A222" i="3" s="1"/>
  <c r="B223" i="3"/>
  <c r="A223" i="3" s="1"/>
  <c r="B228" i="3"/>
  <c r="A228" i="3" s="1"/>
  <c r="B230" i="3"/>
  <c r="A230" i="3" s="1"/>
  <c r="B231" i="3"/>
  <c r="A231" i="3" s="1"/>
  <c r="B232" i="3"/>
  <c r="B238" i="3"/>
  <c r="B249" i="3"/>
  <c r="A249" i="3" s="1"/>
  <c r="B250" i="3"/>
  <c r="B251" i="3"/>
  <c r="B252" i="3"/>
  <c r="B256" i="3"/>
  <c r="A256" i="3" s="1"/>
  <c r="B254" i="3"/>
  <c r="A254" i="3" s="1"/>
  <c r="B258" i="3"/>
  <c r="A258" i="3" s="1"/>
  <c r="B2" i="3"/>
  <c r="A3" i="3" s="1"/>
  <c r="A196" i="3" l="1"/>
  <c r="A70" i="3"/>
  <c r="A167" i="3"/>
  <c r="A111" i="3"/>
  <c r="A135" i="3"/>
  <c r="A37" i="3"/>
  <c r="A218" i="3"/>
  <c r="A36" i="3"/>
  <c r="A240" i="3"/>
  <c r="A212" i="3"/>
  <c r="A198" i="3"/>
  <c r="A128" i="3"/>
  <c r="A100" i="3"/>
  <c r="A72" i="3"/>
  <c r="A58" i="3"/>
  <c r="A44" i="3"/>
  <c r="A238" i="3"/>
  <c r="A112" i="3"/>
  <c r="A125" i="3"/>
  <c r="A233" i="3"/>
  <c r="A79" i="3"/>
  <c r="A92" i="3"/>
  <c r="A253" i="3"/>
  <c r="A239" i="3"/>
  <c r="A225" i="3"/>
  <c r="A197" i="3"/>
  <c r="A183" i="3"/>
  <c r="A155" i="3"/>
  <c r="A113" i="3"/>
  <c r="A99" i="3"/>
  <c r="A97" i="3"/>
  <c r="A250" i="3"/>
  <c r="A194" i="3"/>
  <c r="A166" i="3"/>
  <c r="A124" i="3"/>
  <c r="A82" i="3"/>
  <c r="A54" i="3"/>
  <c r="A26" i="3"/>
  <c r="A235" i="3"/>
  <c r="A221" i="3"/>
  <c r="A193" i="3"/>
  <c r="A179" i="3"/>
  <c r="A123" i="3"/>
  <c r="A95" i="3"/>
  <c r="A81" i="3"/>
  <c r="A67" i="3"/>
  <c r="A53" i="3"/>
  <c r="A25" i="3"/>
  <c r="A168" i="3"/>
  <c r="A56" i="3"/>
  <c r="A251" i="3"/>
  <c r="A27" i="3"/>
  <c r="A236" i="3"/>
  <c r="A208" i="3"/>
  <c r="A180" i="3"/>
  <c r="A152" i="3"/>
  <c r="A96" i="3"/>
  <c r="A68" i="3"/>
  <c r="A12" i="3"/>
  <c r="A248" i="3"/>
  <c r="A234" i="3"/>
  <c r="A220" i="3"/>
  <c r="A192" i="3"/>
  <c r="A178" i="3"/>
  <c r="A94" i="3"/>
  <c r="A80" i="3"/>
  <c r="A66" i="3"/>
  <c r="A52" i="3"/>
  <c r="A38" i="3"/>
  <c r="A24" i="3"/>
  <c r="A10" i="3"/>
  <c r="A140" i="3"/>
  <c r="A28" i="3"/>
  <c r="A153" i="3"/>
  <c r="A13" i="3"/>
  <c r="A121" i="3"/>
  <c r="A23" i="3"/>
  <c r="A246" i="3"/>
  <c r="A162" i="3"/>
  <c r="A106" i="3"/>
  <c r="A259" i="3"/>
  <c r="A245" i="3"/>
  <c r="A203" i="3"/>
  <c r="A161" i="3"/>
  <c r="A147" i="3"/>
  <c r="A63" i="3"/>
  <c r="A7" i="3"/>
  <c r="A210" i="3"/>
  <c r="A84" i="3"/>
  <c r="A181" i="3"/>
  <c r="A83" i="3"/>
  <c r="A163" i="3"/>
  <c r="A65" i="3"/>
  <c r="A232" i="3"/>
  <c r="A8" i="3"/>
  <c r="A244" i="3"/>
  <c r="A188" i="3"/>
  <c r="A174" i="3"/>
  <c r="A146" i="3"/>
  <c r="A62" i="3"/>
  <c r="A48" i="3"/>
  <c r="A182" i="3"/>
  <c r="A98" i="3"/>
  <c r="A195" i="3"/>
  <c r="A69" i="3"/>
  <c r="A149" i="3"/>
  <c r="A93" i="3"/>
  <c r="A64" i="3"/>
  <c r="A257" i="3"/>
  <c r="A243" i="3"/>
  <c r="A229" i="3"/>
  <c r="A215" i="3"/>
  <c r="A187" i="3"/>
  <c r="A173" i="3"/>
  <c r="A159" i="3"/>
  <c r="A145" i="3"/>
  <c r="A131" i="3"/>
  <c r="A117" i="3"/>
  <c r="A89" i="3"/>
  <c r="A75" i="3"/>
  <c r="A47" i="3"/>
  <c r="A5" i="3"/>
  <c r="A252" i="3"/>
  <c r="A154" i="3"/>
  <c r="A42" i="3"/>
  <c r="A209" i="3"/>
  <c r="A41" i="3"/>
  <c r="A247" i="3"/>
  <c r="A191" i="3"/>
  <c r="A107" i="3"/>
  <c r="A9" i="3"/>
  <c r="A2" i="3"/>
  <c r="A176" i="3"/>
  <c r="A120" i="3"/>
  <c r="A22" i="3"/>
  <c r="A242" i="3"/>
  <c r="A172" i="3"/>
  <c r="A158" i="3"/>
  <c r="A144" i="3"/>
  <c r="A88" i="3"/>
  <c r="A46" i="3"/>
  <c r="A4" i="3"/>
  <c r="A224" i="3"/>
  <c r="A237" i="3"/>
  <c r="A55" i="3"/>
  <c r="A177" i="3"/>
  <c r="A51" i="3"/>
  <c r="A148" i="3"/>
  <c r="A255" i="3"/>
  <c r="A241" i="3"/>
  <c r="A227" i="3"/>
  <c r="A185" i="3"/>
  <c r="A143" i="3"/>
  <c r="A129" i="3"/>
  <c r="A101" i="3"/>
  <c r="A59" i="3"/>
  <c r="A45" i="3"/>
  <c r="A31" i="3"/>
</calcChain>
</file>

<file path=xl/sharedStrings.xml><?xml version="1.0" encoding="utf-8"?>
<sst xmlns="http://schemas.openxmlformats.org/spreadsheetml/2006/main" count="1745" uniqueCount="866">
  <si>
    <t>League</t>
  </si>
  <si>
    <t>ASHL</t>
  </si>
  <si>
    <t>NCHL</t>
  </si>
  <si>
    <t>vn1dxgLkcLT896eN</t>
  </si>
  <si>
    <t>WRAHL</t>
  </si>
  <si>
    <t>1S9vxCG4ogfXwn8U</t>
  </si>
  <si>
    <t>ASUMMERHL</t>
  </si>
  <si>
    <t>Season ID</t>
  </si>
  <si>
    <t>Season Name</t>
  </si>
  <si>
    <t>26 Summer</t>
  </si>
  <si>
    <t>26 Summer Playoffs</t>
  </si>
  <si>
    <t>25/26 Winter</t>
  </si>
  <si>
    <t>25/26 Playoffs</t>
  </si>
  <si>
    <t>VS - A</t>
  </si>
  <si>
    <t>VS - B</t>
  </si>
  <si>
    <t>VS - C</t>
  </si>
  <si>
    <t>VS - D</t>
  </si>
  <si>
    <t>VS - E</t>
  </si>
  <si>
    <t>VS - F</t>
  </si>
  <si>
    <t>VS - G</t>
  </si>
  <si>
    <t>VS - H</t>
  </si>
  <si>
    <t>Team Label</t>
  </si>
  <si>
    <t>Team_Label_Key</t>
  </si>
  <si>
    <t>11835VS - A</t>
  </si>
  <si>
    <t>3020VS - A</t>
  </si>
  <si>
    <t>10828VS - B</t>
  </si>
  <si>
    <t>1S9vxCG4ogfXwn8UVS - C</t>
  </si>
  <si>
    <t>vn1dxgLkcLT896eNVS - D</t>
  </si>
  <si>
    <t>25649VS - E</t>
  </si>
  <si>
    <t>25655VS - F</t>
  </si>
  <si>
    <t>28185VS - G</t>
  </si>
  <si>
    <t>30960VS - H</t>
  </si>
  <si>
    <t>League Team ID</t>
  </si>
  <si>
    <t>Team Name</t>
  </si>
  <si>
    <t>GOATS</t>
  </si>
  <si>
    <t>VS HC</t>
  </si>
  <si>
    <t>VSI</t>
  </si>
  <si>
    <t>VSII</t>
  </si>
  <si>
    <t>VSIII</t>
  </si>
  <si>
    <t>VSIV</t>
  </si>
  <si>
    <t>VSV</t>
  </si>
  <si>
    <t>VSVI</t>
  </si>
  <si>
    <t>25 Summer</t>
  </si>
  <si>
    <t>25 Summer Playoffs</t>
  </si>
  <si>
    <t>H0tpRHlW0Hj7KGHH</t>
  </si>
  <si>
    <t>qyxc3pmP6OuiiMKS</t>
  </si>
  <si>
    <t>O5qOaX94FERgxCvl</t>
  </si>
  <si>
    <t>JAhBPkPoV4PoYEXL</t>
  </si>
  <si>
    <t>yl26ZqYqAdBb2Y02</t>
  </si>
  <si>
    <t>26v9Srhi6CrYir7u</t>
  </si>
  <si>
    <t>PJoYDZuDw2VsiLAK</t>
  </si>
  <si>
    <t>Division_If_Applicable</t>
  </si>
  <si>
    <t>D2 Division</t>
  </si>
  <si>
    <t>E1 Division</t>
  </si>
  <si>
    <t>tA1Jx9hCnX2P3oOd</t>
  </si>
  <si>
    <t>E2 Division</t>
  </si>
  <si>
    <t>E3 Division</t>
  </si>
  <si>
    <t>aJBT90jku65QpTRQ</t>
  </si>
  <si>
    <t>tQQPVEU1leWuqYKa</t>
  </si>
  <si>
    <t>Div E2</t>
  </si>
  <si>
    <t>avaHk5n0M0QQUIbJ</t>
  </si>
  <si>
    <t>KtHiqdyokcQaRUoB</t>
  </si>
  <si>
    <t>23/24 Winter</t>
  </si>
  <si>
    <t>WWUrU6cjAhR2H5ak</t>
  </si>
  <si>
    <t>9wOaSRhERngScbsO</t>
  </si>
  <si>
    <t>23/24 Playoffs</t>
  </si>
  <si>
    <t>8agxdKzBC3iPFqOU</t>
  </si>
  <si>
    <t>24/25 Winter</t>
  </si>
  <si>
    <t>24/25 Playoffs</t>
  </si>
  <si>
    <t>Ztk16SnuOBGZLxMw</t>
  </si>
  <si>
    <t>tw9c3spjLIlc3i4p</t>
  </si>
  <si>
    <t>D1 Division</t>
  </si>
  <si>
    <t>t8VKixrMBRCuV5Ag</t>
  </si>
  <si>
    <t>lN9eoYLXtwy0QhOz</t>
  </si>
  <si>
    <t>Div C2</t>
  </si>
  <si>
    <t>SbinQfGGGnRktHbA</t>
  </si>
  <si>
    <t>23 Summer</t>
  </si>
  <si>
    <t>23 Summer Playoffs</t>
  </si>
  <si>
    <t>tuKQcTSMdhgebYRm</t>
  </si>
  <si>
    <t>1CGo3Mhi5xX3Xv8w</t>
  </si>
  <si>
    <t>g9nTTckxgS50PEJD</t>
  </si>
  <si>
    <t>qd0ZaLC7r2gTAj8r</t>
  </si>
  <si>
    <t>24 Summer</t>
  </si>
  <si>
    <t>NiOPOcuOR26lRfaD</t>
  </si>
  <si>
    <t>GYvvRHhYZFU0BpUg</t>
  </si>
  <si>
    <t>24 Summer Playoffs</t>
  </si>
  <si>
    <t>SfkZcEkc9dO0HvGh</t>
  </si>
  <si>
    <t>ZYHDKESDvVRST2aN</t>
  </si>
  <si>
    <t>v4nqo4rRiTySn51E</t>
  </si>
  <si>
    <t>All</t>
  </si>
  <si>
    <t>Aaron</t>
  </si>
  <si>
    <t>LaBerge</t>
  </si>
  <si>
    <t>Ebs8FQO8XbWwZBLM</t>
  </si>
  <si>
    <t>Adam</t>
  </si>
  <si>
    <t>Miller</t>
  </si>
  <si>
    <t>EbQXke3kKanahX2W</t>
  </si>
  <si>
    <t>Aj</t>
  </si>
  <si>
    <t>Mastromartino</t>
  </si>
  <si>
    <t>azSmmt815LAkfFKj</t>
  </si>
  <si>
    <t>Alex</t>
  </si>
  <si>
    <t>Sandilands</t>
  </si>
  <si>
    <t>PNlg7pynC9DHsS0n</t>
  </si>
  <si>
    <t>Aly</t>
  </si>
  <si>
    <t>Saleh</t>
  </si>
  <si>
    <t>LC9pn57cLVXNv95w</t>
  </si>
  <si>
    <t>Alyc</t>
  </si>
  <si>
    <t>Keith</t>
  </si>
  <si>
    <t>lwM2jFGNUz50rbI3</t>
  </si>
  <si>
    <t>Andreas</t>
  </si>
  <si>
    <t>Hlusiak</t>
  </si>
  <si>
    <t>xsSIHdZ9fmJnG2qd</t>
  </si>
  <si>
    <t>Andrew</t>
  </si>
  <si>
    <t>Johnston</t>
  </si>
  <si>
    <t>sHzpQ5Kvd9YRlieT</t>
  </si>
  <si>
    <t>Stevenson</t>
  </si>
  <si>
    <t>btEm1BEp0V5f54J2</t>
  </si>
  <si>
    <t>Austin</t>
  </si>
  <si>
    <t>Halstead</t>
  </si>
  <si>
    <t>PMFiU9Az7Nku44q5</t>
  </si>
  <si>
    <t>Warkentin</t>
  </si>
  <si>
    <t>5C6kWUj8QYiw6QkW</t>
  </si>
  <si>
    <t>Ben</t>
  </si>
  <si>
    <t>Johnson</t>
  </si>
  <si>
    <t>PO8J02g2bxV0RLUp</t>
  </si>
  <si>
    <t>Klein</t>
  </si>
  <si>
    <t>uqgdVTXL5eFRJyEa</t>
  </si>
  <si>
    <t>Brad</t>
  </si>
  <si>
    <t>MacDonald</t>
  </si>
  <si>
    <t>ever5BOD3p9uRTpJ</t>
  </si>
  <si>
    <t>Marks</t>
  </si>
  <si>
    <t>ilA6p56qhuY7ISJ2</t>
  </si>
  <si>
    <t>Brayden</t>
  </si>
  <si>
    <t>Ede</t>
  </si>
  <si>
    <t>xJxi8Z2YedvqS6al</t>
  </si>
  <si>
    <t>Braydon</t>
  </si>
  <si>
    <t>Kimmie</t>
  </si>
  <si>
    <t>b95mKaIt9UNi33am</t>
  </si>
  <si>
    <t>Brendan</t>
  </si>
  <si>
    <t>Brown</t>
  </si>
  <si>
    <t>1DHk69RSEuHkln94</t>
  </si>
  <si>
    <t>Stewart</t>
  </si>
  <si>
    <t>NMmtp8ox5TCNUNDC</t>
  </si>
  <si>
    <t>Cal</t>
  </si>
  <si>
    <t>Adams</t>
  </si>
  <si>
    <t>67Eu3o8XzS745kK8</t>
  </si>
  <si>
    <t>Cale</t>
  </si>
  <si>
    <t>Chambers</t>
  </si>
  <si>
    <t>aTP0kEkdDxf4YWHq</t>
  </si>
  <si>
    <t>Louden</t>
  </si>
  <si>
    <t>hBdOhAW7CU4pzlC7</t>
  </si>
  <si>
    <t>Tamagi</t>
  </si>
  <si>
    <t>R63jfRwh5eC4p5vH</t>
  </si>
  <si>
    <t>Chris</t>
  </si>
  <si>
    <t>Harrison</t>
  </si>
  <si>
    <t>6uLZA06jwk1LOhiu</t>
  </si>
  <si>
    <t>Potter</t>
  </si>
  <si>
    <t>JhYj8hcubQMpXmGH</t>
  </si>
  <si>
    <t>Craig</t>
  </si>
  <si>
    <t>Thatcher</t>
  </si>
  <si>
    <t>xcOUW0GirvVaNlf7</t>
  </si>
  <si>
    <t>Dan</t>
  </si>
  <si>
    <t>Meyers</t>
  </si>
  <si>
    <t>RmlCKLR2KhReZgud</t>
  </si>
  <si>
    <t>Daniel</t>
  </si>
  <si>
    <t>Disipio</t>
  </si>
  <si>
    <t>c0IUc3O6MMMqCnwU</t>
  </si>
  <si>
    <t>Darren</t>
  </si>
  <si>
    <t>Elliott</t>
  </si>
  <si>
    <t>Autytsu1eYmRAUnr</t>
  </si>
  <si>
    <t>Dayton</t>
  </si>
  <si>
    <t>Bryan</t>
  </si>
  <si>
    <t>dmh2BcIaQSjKZxFQ</t>
  </si>
  <si>
    <t>Dongyeon</t>
  </si>
  <si>
    <t>Kim</t>
  </si>
  <si>
    <t>Cz00aOCWVqic7jIX</t>
  </si>
  <si>
    <t>Doug</t>
  </si>
  <si>
    <t>Inglis</t>
  </si>
  <si>
    <t>oRF6p0wMYD84OXlb</t>
  </si>
  <si>
    <t>Douglas</t>
  </si>
  <si>
    <t>Coutts</t>
  </si>
  <si>
    <t>OT4MmZj3H2FJrMXb</t>
  </si>
  <si>
    <t>Eric</t>
  </si>
  <si>
    <t>Palo</t>
  </si>
  <si>
    <t>rgvxDjTUtOpTpMOU</t>
  </si>
  <si>
    <t>Ernesto</t>
  </si>
  <si>
    <t>Astete</t>
  </si>
  <si>
    <t>PVGZdzKuSKvNSyGz</t>
  </si>
  <si>
    <t>Ethan</t>
  </si>
  <si>
    <t>Coates</t>
  </si>
  <si>
    <t>azlKC5Lhh6kqz9WC</t>
  </si>
  <si>
    <t>Gabriel</t>
  </si>
  <si>
    <t>Gheron</t>
  </si>
  <si>
    <t>e0qfRTh5fJXPF7qG</t>
  </si>
  <si>
    <t>Paradis</t>
  </si>
  <si>
    <t>EBV1sKTb8SCeWYxB</t>
  </si>
  <si>
    <t>Garrett</t>
  </si>
  <si>
    <t>Norman</t>
  </si>
  <si>
    <t>kuoSw7th45YkmNYN</t>
  </si>
  <si>
    <t>George</t>
  </si>
  <si>
    <t>Ferguson</t>
  </si>
  <si>
    <t>UDmvTZvdfFVVDRgV</t>
  </si>
  <si>
    <t>Giorgio</t>
  </si>
  <si>
    <t>Aurigemma</t>
  </si>
  <si>
    <t>9HG4FCvyXl7ESMAA</t>
  </si>
  <si>
    <t>Grayden</t>
  </si>
  <si>
    <t>McDonald</t>
  </si>
  <si>
    <t>7QR3fxxhEsv1Ogoj</t>
  </si>
  <si>
    <t>Jacobus (Kobus)</t>
  </si>
  <si>
    <t>Le Roux</t>
  </si>
  <si>
    <t>teeY78XGF7PmlIwp</t>
  </si>
  <si>
    <t>James</t>
  </si>
  <si>
    <t>Mcgregor</t>
  </si>
  <si>
    <t>iBakRRGQhitcyWCr</t>
  </si>
  <si>
    <t>Miranda</t>
  </si>
  <si>
    <t>vTpSZIEdMdcJlG2U</t>
  </si>
  <si>
    <t>Nation</t>
  </si>
  <si>
    <t>J9LPVOwtbd0FrdA7</t>
  </si>
  <si>
    <t>Jameson</t>
  </si>
  <si>
    <t>Mcintosh</t>
  </si>
  <si>
    <t>lS9aE3rZ0xxx1ojj</t>
  </si>
  <si>
    <t>Jamie</t>
  </si>
  <si>
    <t>M8nuAwaMIIdBeo4A</t>
  </si>
  <si>
    <t>Jeff</t>
  </si>
  <si>
    <t>Dudder</t>
  </si>
  <si>
    <t>aKwVgTyDhltGguTu</t>
  </si>
  <si>
    <t>Jeffrey</t>
  </si>
  <si>
    <t>Gardner</t>
  </si>
  <si>
    <t>zihMtYHkWc2zxgNd</t>
  </si>
  <si>
    <t>Jim</t>
  </si>
  <si>
    <t>Fairbairn</t>
  </si>
  <si>
    <t>2no7muHuluMB4r9x</t>
  </si>
  <si>
    <t>John</t>
  </si>
  <si>
    <t>Barker</t>
  </si>
  <si>
    <t>mw1rgQ3aKIeQyBxo</t>
  </si>
  <si>
    <t>Jorin</t>
  </si>
  <si>
    <t>Cheema</t>
  </si>
  <si>
    <t>BVUiShMC2TMJ82Od</t>
  </si>
  <si>
    <t>Joseph</t>
  </si>
  <si>
    <t>Greco</t>
  </si>
  <si>
    <t>6D7XwdXIjOkZmcIV</t>
  </si>
  <si>
    <t>Josh</t>
  </si>
  <si>
    <t>Pender</t>
  </si>
  <si>
    <t>THdlrcxmfdT3fCtN</t>
  </si>
  <si>
    <t>Justin</t>
  </si>
  <si>
    <t>McCarthy</t>
  </si>
  <si>
    <t>3X66HzGjMwXpo1KF</t>
  </si>
  <si>
    <t>Kent</t>
  </si>
  <si>
    <t>Szoke</t>
  </si>
  <si>
    <t>WergAmOnF7aOvgCY</t>
  </si>
  <si>
    <t>Kevin</t>
  </si>
  <si>
    <t>Feigel</t>
  </si>
  <si>
    <t>tZtQgnAspjbJy9gS</t>
  </si>
  <si>
    <t>Gilligan</t>
  </si>
  <si>
    <t>q7kCSqesI4A5LXwM</t>
  </si>
  <si>
    <t>25e0jkVBWOqCpRup</t>
  </si>
  <si>
    <t>Kristian</t>
  </si>
  <si>
    <t>90xGkssniYD4kbwE</t>
  </si>
  <si>
    <t>Kristopher</t>
  </si>
  <si>
    <t>Hill</t>
  </si>
  <si>
    <t>vESynThp4sBLrKEu</t>
  </si>
  <si>
    <t>Kurt</t>
  </si>
  <si>
    <t>Brillinger</t>
  </si>
  <si>
    <t>J3sfbLmEuvrgd437</t>
  </si>
  <si>
    <t>Kyle</t>
  </si>
  <si>
    <t>Appelhof</t>
  </si>
  <si>
    <t>eGTbo1DokdDbnuAb</t>
  </si>
  <si>
    <t>Bell</t>
  </si>
  <si>
    <t>KR67lRvcy37Cb6nJ</t>
  </si>
  <si>
    <t>Staub</t>
  </si>
  <si>
    <t>qM2iOYb3UOyLDo8j</t>
  </si>
  <si>
    <t>Kyler</t>
  </si>
  <si>
    <t>Loucks</t>
  </si>
  <si>
    <t>UfGHY9i6rvm9BRSN</t>
  </si>
  <si>
    <t>Landen</t>
  </si>
  <si>
    <t>Richardson</t>
  </si>
  <si>
    <t>oFzYTHt8cZFmfzGE</t>
  </si>
  <si>
    <t>Landon</t>
  </si>
  <si>
    <t>Janzen</t>
  </si>
  <si>
    <t>SCPRKKXZSJxZzYj8</t>
  </si>
  <si>
    <t>Leighton</t>
  </si>
  <si>
    <t>McDaid</t>
  </si>
  <si>
    <t>u9u13P9Ip0oxCFrg</t>
  </si>
  <si>
    <t>Leo</t>
  </si>
  <si>
    <t>Petitti</t>
  </si>
  <si>
    <t>MUUNZydPwS26FlF0</t>
  </si>
  <si>
    <t>Marcel</t>
  </si>
  <si>
    <t>Walls</t>
  </si>
  <si>
    <t>ox9xjtXfy7RS9u37</t>
  </si>
  <si>
    <t>Mark</t>
  </si>
  <si>
    <t>Bortoluzzi</t>
  </si>
  <si>
    <t>VWN6fMiWKeWoGwt5</t>
  </si>
  <si>
    <t>Martyn</t>
  </si>
  <si>
    <t>Lafrance</t>
  </si>
  <si>
    <t>2iBBICIIrGeXZWlX</t>
  </si>
  <si>
    <t>Matt</t>
  </si>
  <si>
    <t>Copithorne</t>
  </si>
  <si>
    <t>PTOumckNdkbkDvKS</t>
  </si>
  <si>
    <t>EsLcp3d2n0lBF8oZ</t>
  </si>
  <si>
    <t>Matthew</t>
  </si>
  <si>
    <t>Eagletail</t>
  </si>
  <si>
    <t>6sPfvSyJBWvxTfhG</t>
  </si>
  <si>
    <t>Preston</t>
  </si>
  <si>
    <t>gOGUmv9XByXP61BP</t>
  </si>
  <si>
    <t>Smith</t>
  </si>
  <si>
    <t>uEWRPIi1EyKqadG8</t>
  </si>
  <si>
    <t>Michael</t>
  </si>
  <si>
    <t>Boyle</t>
  </si>
  <si>
    <t>MDLLGAeo7GNSYdSf</t>
  </si>
  <si>
    <t>Federkeil</t>
  </si>
  <si>
    <t>O4H42Di7pwRvgRt8</t>
  </si>
  <si>
    <t>fVawB3pg8TjHYmwT</t>
  </si>
  <si>
    <t>Mihailo</t>
  </si>
  <si>
    <t>Howe</t>
  </si>
  <si>
    <t>0w7gbxqx9P6wFmxa</t>
  </si>
  <si>
    <t>Mike</t>
  </si>
  <si>
    <t>Gaudet</t>
  </si>
  <si>
    <t>SRQdXmscPj5vDsQc</t>
  </si>
  <si>
    <t>ObKTPRcJ6AAMRfQp</t>
  </si>
  <si>
    <t>Phenix</t>
  </si>
  <si>
    <t>uGBIta1SiGNicf87</t>
  </si>
  <si>
    <t>Misty</t>
  </si>
  <si>
    <t>Seastrom</t>
  </si>
  <si>
    <t>1xjX3ziEeoqgJB5B</t>
  </si>
  <si>
    <t>Nicholas</t>
  </si>
  <si>
    <t>West</t>
  </si>
  <si>
    <t>629QZ7GgImVoZDE4</t>
  </si>
  <si>
    <t>Nick</t>
  </si>
  <si>
    <t>Facey</t>
  </si>
  <si>
    <t>C2NiWO9LTqAjfVph</t>
  </si>
  <si>
    <t>Nicole</t>
  </si>
  <si>
    <t>Henkel</t>
  </si>
  <si>
    <t>l4EX4f3WgQHxLbkP</t>
  </si>
  <si>
    <t>Nik</t>
  </si>
  <si>
    <t>Hayward</t>
  </si>
  <si>
    <t>BwlDIyT3c9J78F5V</t>
  </si>
  <si>
    <t>Patrick</t>
  </si>
  <si>
    <t>Boyd</t>
  </si>
  <si>
    <t>nwUjmUjOgRhb71Or</t>
  </si>
  <si>
    <t>Gremell</t>
  </si>
  <si>
    <t>b8ONAhQHMSz1Hm0v</t>
  </si>
  <si>
    <t>Pete</t>
  </si>
  <si>
    <t>McIntyre</t>
  </si>
  <si>
    <t>Jhm1yyQsuoxnwo4F</t>
  </si>
  <si>
    <t>Quinn</t>
  </si>
  <si>
    <t>Staple</t>
  </si>
  <si>
    <t>CDrhyHaUhpEawWjG</t>
  </si>
  <si>
    <t>Riley</t>
  </si>
  <si>
    <t>Peterson</t>
  </si>
  <si>
    <t>pSbXktW2V1PBhMEZ</t>
  </si>
  <si>
    <t>Rohm</t>
  </si>
  <si>
    <t>Laxton</t>
  </si>
  <si>
    <t>MteJD2azymm4hWhM</t>
  </si>
  <si>
    <t>Ryan</t>
  </si>
  <si>
    <t>Bessey</t>
  </si>
  <si>
    <t>hmVxNVewJTeHA5MP</t>
  </si>
  <si>
    <t>McDaniel</t>
  </si>
  <si>
    <t>b9DFhdoWdFaK0umY</t>
  </si>
  <si>
    <t>Sadeeq</t>
  </si>
  <si>
    <t>Haji</t>
  </si>
  <si>
    <t>4VkKeXTVTdSwPejI</t>
  </si>
  <si>
    <t>Sameer</t>
  </si>
  <si>
    <t>Remtulla</t>
  </si>
  <si>
    <t>uiXNrO9dbWMJKsQG</t>
  </si>
  <si>
    <t>Samiuel</t>
  </si>
  <si>
    <t>Burgess</t>
  </si>
  <si>
    <t>NAl8etDmDJHUt0jg</t>
  </si>
  <si>
    <t>Samuel</t>
  </si>
  <si>
    <t>gkZnYFNeHS7OKHgU</t>
  </si>
  <si>
    <t>Scott</t>
  </si>
  <si>
    <t>Annesley</t>
  </si>
  <si>
    <t>gvCXxVNku45y41Wo</t>
  </si>
  <si>
    <t>Bergen</t>
  </si>
  <si>
    <t>c8CQhhkB3PMmbaO4</t>
  </si>
  <si>
    <t>Sean</t>
  </si>
  <si>
    <t>Blackwell</t>
  </si>
  <si>
    <t>ISBeW1vYLdIKVPnM</t>
  </si>
  <si>
    <t>David</t>
  </si>
  <si>
    <t>ZDnMSi4aeMc0LFao</t>
  </si>
  <si>
    <t>Shane</t>
  </si>
  <si>
    <t>Scully</t>
  </si>
  <si>
    <t>7z7nifECJdBe9HlI</t>
  </si>
  <si>
    <t>Towns</t>
  </si>
  <si>
    <t>QKOkD6HvqlbEKAeN</t>
  </si>
  <si>
    <t>Shawn</t>
  </si>
  <si>
    <t>Getty</t>
  </si>
  <si>
    <t>QOnRyNrSBlOP7sna</t>
  </si>
  <si>
    <t>Spencer</t>
  </si>
  <si>
    <t>Hildebrandt</t>
  </si>
  <si>
    <t>7RdQbtaP7pKRxsxI</t>
  </si>
  <si>
    <t>Steven</t>
  </si>
  <si>
    <t>Ritchie</t>
  </si>
  <si>
    <t>STvWqsjuzXMC0S9i</t>
  </si>
  <si>
    <t>Stuart</t>
  </si>
  <si>
    <t>Onychuk</t>
  </si>
  <si>
    <t>r0R0EWsRfw5aLQpq</t>
  </si>
  <si>
    <t>Tal</t>
  </si>
  <si>
    <t>Forcade</t>
  </si>
  <si>
    <t>0gEQRF8Hs9NYbGvc</t>
  </si>
  <si>
    <t>Tanner</t>
  </si>
  <si>
    <t>Maciver</t>
  </si>
  <si>
    <t>MYxFdVzmR5WNeNNM</t>
  </si>
  <si>
    <t>Travis</t>
  </si>
  <si>
    <t>Bohnet</t>
  </si>
  <si>
    <t>sOjWktwxqGlvOLqK</t>
  </si>
  <si>
    <t>Vince</t>
  </si>
  <si>
    <t>zkR9yFfI868IvrH8</t>
  </si>
  <si>
    <t>Wade</t>
  </si>
  <si>
    <t>2Tvpc7YxFaja3eiH</t>
  </si>
  <si>
    <t>William</t>
  </si>
  <si>
    <t>Ford</t>
  </si>
  <si>
    <t>HcHBkmOWxCrYLnQv</t>
  </si>
  <si>
    <t>EvdQ2CMBrdWIXZvf</t>
  </si>
  <si>
    <t>Zach</t>
  </si>
  <si>
    <t>Carter</t>
  </si>
  <si>
    <t>96W2aoqmGkEaIdeK</t>
  </si>
  <si>
    <t>Zachary</t>
  </si>
  <si>
    <t>XuFSuWQuqYshnHQL</t>
  </si>
  <si>
    <t>Zee</t>
  </si>
  <si>
    <t>Hamilton</t>
  </si>
  <si>
    <t>B5XjDlaUBElWMrnw</t>
  </si>
  <si>
    <t>rawFirstName</t>
  </si>
  <si>
    <t>rawLastName</t>
  </si>
  <si>
    <t>ASHL Player ID</t>
  </si>
  <si>
    <t>cleanFirstName</t>
  </si>
  <si>
    <t>cleanLastName</t>
  </si>
  <si>
    <t>cleanFirstLast</t>
  </si>
  <si>
    <t>rawFirstLast</t>
  </si>
  <si>
    <t>Christian</t>
  </si>
  <si>
    <t>Mckeen</t>
  </si>
  <si>
    <t>ZHjLt4hGUuoN5wkp</t>
  </si>
  <si>
    <t>Colton</t>
  </si>
  <si>
    <t>Arthurs</t>
  </si>
  <si>
    <t>jFN1b71yX74jcSPg</t>
  </si>
  <si>
    <t>Swinden</t>
  </si>
  <si>
    <t>XxvH1uEBIWdqK9Vh</t>
  </si>
  <si>
    <t>Javier</t>
  </si>
  <si>
    <t>Sarmiento</t>
  </si>
  <si>
    <t>iQwKt3pWVhrzkuv5</t>
  </si>
  <si>
    <t>Wiwchar</t>
  </si>
  <si>
    <t>2TOHwznPbpCqlCYG</t>
  </si>
  <si>
    <t>Nat</t>
  </si>
  <si>
    <t>Couzens</t>
  </si>
  <si>
    <t>GpwmSdnCoiMDigXw</t>
  </si>
  <si>
    <t>Stefan</t>
  </si>
  <si>
    <t>Migotti</t>
  </si>
  <si>
    <t>ohuKMUhv84Suk2o0</t>
  </si>
  <si>
    <t>Adam Marcoux</t>
  </si>
  <si>
    <t>Marcoux</t>
  </si>
  <si>
    <t>Bruce So</t>
  </si>
  <si>
    <t>Bruce</t>
  </si>
  <si>
    <t>So</t>
  </si>
  <si>
    <t>Bruce So (SPARE)</t>
  </si>
  <si>
    <t>So (SPARE)</t>
  </si>
  <si>
    <t>Cale Tamagi</t>
  </si>
  <si>
    <t>Chaz Anderson</t>
  </si>
  <si>
    <t>Chaz</t>
  </si>
  <si>
    <t>Anderson</t>
  </si>
  <si>
    <t>Colton Arthurs</t>
  </si>
  <si>
    <t>Dan Swinden</t>
  </si>
  <si>
    <t>Dan Swindon</t>
  </si>
  <si>
    <t>Swindon</t>
  </si>
  <si>
    <t>Jeff Dudder</t>
  </si>
  <si>
    <t>Kristian Sandlands</t>
  </si>
  <si>
    <t>Sandlands</t>
  </si>
  <si>
    <t>Matt Potter</t>
  </si>
  <si>
    <t>Matt Preston</t>
  </si>
  <si>
    <t>Matthew Matas</t>
  </si>
  <si>
    <t>Matas</t>
  </si>
  <si>
    <t>Nat Couzins</t>
  </si>
  <si>
    <t>Couzins</t>
  </si>
  <si>
    <t>Nathanial Couzens</t>
  </si>
  <si>
    <t>Nathanial</t>
  </si>
  <si>
    <t>Noah Clason</t>
  </si>
  <si>
    <t>Noah</t>
  </si>
  <si>
    <t>Clason</t>
  </si>
  <si>
    <t>Sara Far</t>
  </si>
  <si>
    <t>Sara</t>
  </si>
  <si>
    <t>Far</t>
  </si>
  <si>
    <t>Stu Karol</t>
  </si>
  <si>
    <t>Stu</t>
  </si>
  <si>
    <t>Karol</t>
  </si>
  <si>
    <t>Zee Hamilton</t>
  </si>
  <si>
    <t>Aaron LaBerge</t>
  </si>
  <si>
    <t>Aaron Leberge</t>
  </si>
  <si>
    <t>Leberge</t>
  </si>
  <si>
    <t>Adam Marciux</t>
  </si>
  <si>
    <t>Marciux</t>
  </si>
  <si>
    <t>Adam Miller</t>
  </si>
  <si>
    <t>Aiden Szautner</t>
  </si>
  <si>
    <t>Aiden</t>
  </si>
  <si>
    <t>Szautner</t>
  </si>
  <si>
    <t>Alex Chow</t>
  </si>
  <si>
    <t>Chow</t>
  </si>
  <si>
    <t>Alex Przibislawszky</t>
  </si>
  <si>
    <t>Przibislawszky</t>
  </si>
  <si>
    <t>Alex Sanilands</t>
  </si>
  <si>
    <t>Sanilands</t>
  </si>
  <si>
    <t>Aly Salsh</t>
  </si>
  <si>
    <t>Salsh</t>
  </si>
  <si>
    <t>Andrew Johnston</t>
  </si>
  <si>
    <t>Ben Johnson</t>
  </si>
  <si>
    <t>Ben Klein</t>
  </si>
  <si>
    <t>Ben Klein (CLUB)</t>
  </si>
  <si>
    <t>Klein (CLUB)</t>
  </si>
  <si>
    <t>Ben Lake</t>
  </si>
  <si>
    <t>Lake</t>
  </si>
  <si>
    <t>Ben Nemish</t>
  </si>
  <si>
    <t>Nemish</t>
  </si>
  <si>
    <t>Benjamin Klein</t>
  </si>
  <si>
    <t>Benjamin</t>
  </si>
  <si>
    <t>Benjamin Tse</t>
  </si>
  <si>
    <t>Tse</t>
  </si>
  <si>
    <t>Bobby Clark</t>
  </si>
  <si>
    <t>Bobby</t>
  </si>
  <si>
    <t>Clark</t>
  </si>
  <si>
    <t>Brad MacDonald</t>
  </si>
  <si>
    <t>Brad Marks</t>
  </si>
  <si>
    <t>Brad Marks (CLUB)</t>
  </si>
  <si>
    <t>Marks (CLUB)</t>
  </si>
  <si>
    <t>Braydon Kimmie</t>
  </si>
  <si>
    <t>Brendan Brown</t>
  </si>
  <si>
    <t>Brodie Shields-Tyler</t>
  </si>
  <si>
    <t>Brodie</t>
  </si>
  <si>
    <t>Shields-Tyler</t>
  </si>
  <si>
    <t>Cal Adams</t>
  </si>
  <si>
    <t>Cale Louden</t>
  </si>
  <si>
    <t>Cale Louden 'C'</t>
  </si>
  <si>
    <t>Louden 'C'</t>
  </si>
  <si>
    <t>Carl Bennett</t>
  </si>
  <si>
    <t>Carl</t>
  </si>
  <si>
    <t>Bennett</t>
  </si>
  <si>
    <t>Carson Taylor</t>
  </si>
  <si>
    <t>Carson</t>
  </si>
  <si>
    <t>Taylor</t>
  </si>
  <si>
    <t>Carter Evans</t>
  </si>
  <si>
    <t>Evans</t>
  </si>
  <si>
    <t>Chase Ziegler</t>
  </si>
  <si>
    <t>Chase</t>
  </si>
  <si>
    <t>Ziegler</t>
  </si>
  <si>
    <t>Chris Harrison</t>
  </si>
  <si>
    <t>Christian Quinn</t>
  </si>
  <si>
    <t>Cody Healy</t>
  </si>
  <si>
    <t>Cody</t>
  </si>
  <si>
    <t>Healy</t>
  </si>
  <si>
    <t>Colin Anderson</t>
  </si>
  <si>
    <t>Colin</t>
  </si>
  <si>
    <t>Colton Arkhangel</t>
  </si>
  <si>
    <t>Arkhangel</t>
  </si>
  <si>
    <t>Curtis Robinson</t>
  </si>
  <si>
    <t>Curtis</t>
  </si>
  <si>
    <t>Robinson</t>
  </si>
  <si>
    <t>Curtis Zink</t>
  </si>
  <si>
    <t>Zink</t>
  </si>
  <si>
    <t>Dan Meyers</t>
  </si>
  <si>
    <t>Dane Bennett-Nimijean</t>
  </si>
  <si>
    <t>Dane</t>
  </si>
  <si>
    <t>Bennett-Nimijean</t>
  </si>
  <si>
    <t>David Bertrand</t>
  </si>
  <si>
    <t>Bertrand</t>
  </si>
  <si>
    <t>David Nippard</t>
  </si>
  <si>
    <t>Nippard</t>
  </si>
  <si>
    <t>Dawson Bacon</t>
  </si>
  <si>
    <t>Dawson</t>
  </si>
  <si>
    <t>Bacon</t>
  </si>
  <si>
    <t>Dayton Bryan</t>
  </si>
  <si>
    <t>Dominic Fiorentino</t>
  </si>
  <si>
    <t>Dominic</t>
  </si>
  <si>
    <t>Fiorentino</t>
  </si>
  <si>
    <t>Donovan Tse</t>
  </si>
  <si>
    <t>Donovan</t>
  </si>
  <si>
    <t>Doug Inglis</t>
  </si>
  <si>
    <t>Drew Coles</t>
  </si>
  <si>
    <t>Drew</t>
  </si>
  <si>
    <t>Coles</t>
  </si>
  <si>
    <t>Eric Palo</t>
  </si>
  <si>
    <t>Ernesto Astete</t>
  </si>
  <si>
    <t>Ethan Coates</t>
  </si>
  <si>
    <t>Ethan Hardy</t>
  </si>
  <si>
    <t>Hardy</t>
  </si>
  <si>
    <t>Ewing Ferguson</t>
  </si>
  <si>
    <t>Ewing</t>
  </si>
  <si>
    <t>Franz Zemp</t>
  </si>
  <si>
    <t>Franz</t>
  </si>
  <si>
    <t>Zemp</t>
  </si>
  <si>
    <t>Fraser Barbor</t>
  </si>
  <si>
    <t>Fraser</t>
  </si>
  <si>
    <t>Barbor</t>
  </si>
  <si>
    <t>Gabe Langlois</t>
  </si>
  <si>
    <t>Gabe</t>
  </si>
  <si>
    <t>Langlois</t>
  </si>
  <si>
    <t>Gabriel Gheron</t>
  </si>
  <si>
    <t>Gabriel Paradis</t>
  </si>
  <si>
    <t>George Ferguson</t>
  </si>
  <si>
    <t>George Ferguson "FPW"</t>
  </si>
  <si>
    <t>Ferguson FPW</t>
  </si>
  <si>
    <t>George Ferguson (CLUB)</t>
  </si>
  <si>
    <t>Ferguson (CLUB)</t>
  </si>
  <si>
    <t>Giorgio Aurigemma</t>
  </si>
  <si>
    <t>Greg Walbergs</t>
  </si>
  <si>
    <t>Greg</t>
  </si>
  <si>
    <t>Walbergs</t>
  </si>
  <si>
    <t>Hayden Knorr</t>
  </si>
  <si>
    <t>Hayden</t>
  </si>
  <si>
    <t>Knorr</t>
  </si>
  <si>
    <t>Howard Tse</t>
  </si>
  <si>
    <t>Howard</t>
  </si>
  <si>
    <t>Hudson Binder</t>
  </si>
  <si>
    <t>Hudson</t>
  </si>
  <si>
    <t>Binder</t>
  </si>
  <si>
    <t>Isaac Achal</t>
  </si>
  <si>
    <t>Isaac</t>
  </si>
  <si>
    <t>Achal</t>
  </si>
  <si>
    <t>Jake Magee</t>
  </si>
  <si>
    <t>Jake</t>
  </si>
  <si>
    <t>Magee</t>
  </si>
  <si>
    <t>Jake Petrie</t>
  </si>
  <si>
    <t>Petrie</t>
  </si>
  <si>
    <t>Jame Mcgregor</t>
  </si>
  <si>
    <t>Jame</t>
  </si>
  <si>
    <t>James Fiander</t>
  </si>
  <si>
    <t>Fiander</t>
  </si>
  <si>
    <t>James Langton</t>
  </si>
  <si>
    <t>Langton</t>
  </si>
  <si>
    <t>James Mcgregor</t>
  </si>
  <si>
    <t>James Miranda</t>
  </si>
  <si>
    <t>James Nation</t>
  </si>
  <si>
    <t>Jason Arrell</t>
  </si>
  <si>
    <t>Jason</t>
  </si>
  <si>
    <t>Arrell</t>
  </si>
  <si>
    <t>John Cheemo</t>
  </si>
  <si>
    <t>Cheemo</t>
  </si>
  <si>
    <t>Jorin Cheema</t>
  </si>
  <si>
    <t>Joseph Greco</t>
  </si>
  <si>
    <t>Josh Hager</t>
  </si>
  <si>
    <t>Hager</t>
  </si>
  <si>
    <t>Josh Pender</t>
  </si>
  <si>
    <t>Justin McCarthy</t>
  </si>
  <si>
    <t>Justin McCarthy (CLUB)</t>
  </si>
  <si>
    <t>McCarthy (CLUB)</t>
  </si>
  <si>
    <t>Kaden McMann</t>
  </si>
  <si>
    <t>Kaden</t>
  </si>
  <si>
    <t>McMann</t>
  </si>
  <si>
    <t>Kesar Deol</t>
  </si>
  <si>
    <t>Kesar</t>
  </si>
  <si>
    <t>Deol</t>
  </si>
  <si>
    <t>Kevin Feigel</t>
  </si>
  <si>
    <t>Kevin Inglis</t>
  </si>
  <si>
    <t>Kobus Le Roux</t>
  </si>
  <si>
    <t>Kobus</t>
  </si>
  <si>
    <t>Kobus LeRoux</t>
  </si>
  <si>
    <t>LeRoux</t>
  </si>
  <si>
    <t>Kristian Sandilands</t>
  </si>
  <si>
    <t>Kristopher Hill</t>
  </si>
  <si>
    <t>Kyler Loucks</t>
  </si>
  <si>
    <t>Landen Richardson</t>
  </si>
  <si>
    <t>Landon Janzen</t>
  </si>
  <si>
    <t>Lauren Davis</t>
  </si>
  <si>
    <t>Lauren</t>
  </si>
  <si>
    <t>Davis</t>
  </si>
  <si>
    <t>Leighton McDaid</t>
  </si>
  <si>
    <t>Liam Furlong</t>
  </si>
  <si>
    <t>Liam</t>
  </si>
  <si>
    <t>Furlong</t>
  </si>
  <si>
    <t>Louis Sawyer</t>
  </si>
  <si>
    <t>Louis</t>
  </si>
  <si>
    <t>Sawyer</t>
  </si>
  <si>
    <t>Luke Church</t>
  </si>
  <si>
    <t>Luke</t>
  </si>
  <si>
    <t>Church</t>
  </si>
  <si>
    <t>Luke Jensen</t>
  </si>
  <si>
    <t>Jensen</t>
  </si>
  <si>
    <t>Mackenzie Stewart</t>
  </si>
  <si>
    <t>Mackenzie</t>
  </si>
  <si>
    <t>Mark Bortoluzzi</t>
  </si>
  <si>
    <t>Martyn Lafrance</t>
  </si>
  <si>
    <t>Matt Copithorne</t>
  </si>
  <si>
    <t>Matt Desmarais</t>
  </si>
  <si>
    <t>Desmarais</t>
  </si>
  <si>
    <t>Matthew Copithorne</t>
  </si>
  <si>
    <t>Matthew Eagletail</t>
  </si>
  <si>
    <t>Matthew Kam</t>
  </si>
  <si>
    <t>Kam</t>
  </si>
  <si>
    <t>Max Bawks-Smith</t>
  </si>
  <si>
    <t>Max</t>
  </si>
  <si>
    <t>Bawks-Smith</t>
  </si>
  <si>
    <t>Max Sullivan</t>
  </si>
  <si>
    <t>Sullivan</t>
  </si>
  <si>
    <t>Mihailo Howe</t>
  </si>
  <si>
    <t>Mike Gaffud</t>
  </si>
  <si>
    <t>Gaffud</t>
  </si>
  <si>
    <t>Mike Gaffud (CLUB)</t>
  </si>
  <si>
    <t>Gaffud (CLUB)</t>
  </si>
  <si>
    <t>Mike Sandilands</t>
  </si>
  <si>
    <t>Mike Sandllands</t>
  </si>
  <si>
    <t>Sandllands</t>
  </si>
  <si>
    <t>Miles Cooper</t>
  </si>
  <si>
    <t>Miles</t>
  </si>
  <si>
    <t>Cooper</t>
  </si>
  <si>
    <t>Misty Seastrom</t>
  </si>
  <si>
    <t>Morgan Wulff</t>
  </si>
  <si>
    <t>Morgan</t>
  </si>
  <si>
    <t>Wulff</t>
  </si>
  <si>
    <t>Nathan Behm 'A'</t>
  </si>
  <si>
    <t>Nathan</t>
  </si>
  <si>
    <t>Behm 'A'</t>
  </si>
  <si>
    <t>Nathan Grunsell</t>
  </si>
  <si>
    <t>Grunsell</t>
  </si>
  <si>
    <t>Nic Leggett</t>
  </si>
  <si>
    <t>Nic</t>
  </si>
  <si>
    <t>Leggett</t>
  </si>
  <si>
    <t>Nicholas Hayden</t>
  </si>
  <si>
    <t>Nick Dobson</t>
  </si>
  <si>
    <t>Dobson</t>
  </si>
  <si>
    <t>Nick Facey</t>
  </si>
  <si>
    <t>Nick Verdon</t>
  </si>
  <si>
    <t>Verdon</t>
  </si>
  <si>
    <t>Nicole Heakel</t>
  </si>
  <si>
    <t>Heakel</t>
  </si>
  <si>
    <t>Nicole Henkel</t>
  </si>
  <si>
    <t>Nik Hayward</t>
  </si>
  <si>
    <t>Nik Yule</t>
  </si>
  <si>
    <t>Yule</t>
  </si>
  <si>
    <t>Noa Wheatley</t>
  </si>
  <si>
    <t>Noa</t>
  </si>
  <si>
    <t>Wheatley</t>
  </si>
  <si>
    <t>Noah Degenstein</t>
  </si>
  <si>
    <t>Degenstein</t>
  </si>
  <si>
    <t>Noel Langlois</t>
  </si>
  <si>
    <t>Noel</t>
  </si>
  <si>
    <t>Nolan Dawson</t>
  </si>
  <si>
    <t>Nolan</t>
  </si>
  <si>
    <t>Owen Cooper</t>
  </si>
  <si>
    <t>Owen</t>
  </si>
  <si>
    <t>Owen Hayden</t>
  </si>
  <si>
    <t>Patrick Gremell</t>
  </si>
  <si>
    <t>Quinn Yule</t>
  </si>
  <si>
    <t>Riley Peterson</t>
  </si>
  <si>
    <t>Ryan McDaniel</t>
  </si>
  <si>
    <t>Sameer Remtulla</t>
  </si>
  <si>
    <t>Scott Bergen</t>
  </si>
  <si>
    <t>Scott Berger</t>
  </si>
  <si>
    <t>Berger</t>
  </si>
  <si>
    <t>Sean Blackwell</t>
  </si>
  <si>
    <t>Sean David</t>
  </si>
  <si>
    <t>Sharon Gotty</t>
  </si>
  <si>
    <t>Sharon</t>
  </si>
  <si>
    <t>Gotty</t>
  </si>
  <si>
    <t>Shawn Gerry</t>
  </si>
  <si>
    <t>Gerry</t>
  </si>
  <si>
    <t>Shawn Getty</t>
  </si>
  <si>
    <t>Spencer Hildebrandt</t>
  </si>
  <si>
    <t>Spencer Hildebrant</t>
  </si>
  <si>
    <t>Hildebrant</t>
  </si>
  <si>
    <t>Spencer Hilderbrandt</t>
  </si>
  <si>
    <t>Hilderbrandt</t>
  </si>
  <si>
    <t>Sterling Ferguson</t>
  </si>
  <si>
    <t>Sterling</t>
  </si>
  <si>
    <t>Stuart Onychuk</t>
  </si>
  <si>
    <t>Tal Forcade</t>
  </si>
  <si>
    <t>Tanner McIver</t>
  </si>
  <si>
    <t>McIver</t>
  </si>
  <si>
    <t>Terry Khu</t>
  </si>
  <si>
    <t>Terry</t>
  </si>
  <si>
    <t>Khu</t>
  </si>
  <si>
    <t>Terry Khu (CLUB)</t>
  </si>
  <si>
    <t>Khu (CLUB)</t>
  </si>
  <si>
    <t>Todd James</t>
  </si>
  <si>
    <t>Todd</t>
  </si>
  <si>
    <t>Tomas Elbl</t>
  </si>
  <si>
    <t>Tomas</t>
  </si>
  <si>
    <t>Elbl</t>
  </si>
  <si>
    <t>Travis Bohnet</t>
  </si>
  <si>
    <t>Travis Bohnet 'A'</t>
  </si>
  <si>
    <t>Bohnet 'A'</t>
  </si>
  <si>
    <t>Travis De Freitas</t>
  </si>
  <si>
    <t>De Freitas</t>
  </si>
  <si>
    <t>Travis DeFreitas</t>
  </si>
  <si>
    <t>DeFreitas</t>
  </si>
  <si>
    <t>Trevor Champion</t>
  </si>
  <si>
    <t>Trevor</t>
  </si>
  <si>
    <t>Champion</t>
  </si>
  <si>
    <t>Trevor Deagle</t>
  </si>
  <si>
    <t>Deagle</t>
  </si>
  <si>
    <t>Trevor Hamilton</t>
  </si>
  <si>
    <t>Trey Patterson</t>
  </si>
  <si>
    <t>Trey</t>
  </si>
  <si>
    <t>Patterson</t>
  </si>
  <si>
    <t>Tyler Cutknife</t>
  </si>
  <si>
    <t>Tyler</t>
  </si>
  <si>
    <t>Cutknife</t>
  </si>
  <si>
    <t>Tyler Cutknife 'A'</t>
  </si>
  <si>
    <t>Cutknife 'A'</t>
  </si>
  <si>
    <t>Tyler Watungwa</t>
  </si>
  <si>
    <t>Watungwa</t>
  </si>
  <si>
    <t>William Ford</t>
  </si>
  <si>
    <t>Zac Blackwell</t>
  </si>
  <si>
    <t>Zac</t>
  </si>
  <si>
    <t>Zac Searby</t>
  </si>
  <si>
    <t>Searby</t>
  </si>
  <si>
    <t>Zach Couling</t>
  </si>
  <si>
    <t>Couling</t>
  </si>
  <si>
    <t>Zee Hamilton (CLUB)</t>
  </si>
  <si>
    <t>Hamilton (CLUB)</t>
  </si>
  <si>
    <t>Aj Mastromartino</t>
  </si>
  <si>
    <t>Alex Sandilands</t>
  </si>
  <si>
    <t>Aly Saleh</t>
  </si>
  <si>
    <t>Alyc Keith</t>
  </si>
  <si>
    <t>Andreas Hlusiak</t>
  </si>
  <si>
    <t>Andrew Stevenson</t>
  </si>
  <si>
    <t>Austin Halstead</t>
  </si>
  <si>
    <t>Austin Warkentin</t>
  </si>
  <si>
    <t>Brayden Ede</t>
  </si>
  <si>
    <t>Brendan Stewart</t>
  </si>
  <si>
    <t>Cale Chambers</t>
  </si>
  <si>
    <t>Chris Potter</t>
  </si>
  <si>
    <t>Christian Mckeen</t>
  </si>
  <si>
    <t>Craig Thatcher</t>
  </si>
  <si>
    <t>Daniel Disipio</t>
  </si>
  <si>
    <t>Darren Elliott</t>
  </si>
  <si>
    <t>Dongyeon Kim</t>
  </si>
  <si>
    <t>Douglas Coutts</t>
  </si>
  <si>
    <t>Garrett Norman</t>
  </si>
  <si>
    <t>Grayden McDonald</t>
  </si>
  <si>
    <t>Jameson Mcintosh</t>
  </si>
  <si>
    <t>Jamie Miranda</t>
  </si>
  <si>
    <t>Javier Sarmiento</t>
  </si>
  <si>
    <t>Jeffrey Gardner</t>
  </si>
  <si>
    <t>Jim Fairbairn</t>
  </si>
  <si>
    <t>John Barker</t>
  </si>
  <si>
    <t>Joseph Wiwchar</t>
  </si>
  <si>
    <t>Kent Szoke</t>
  </si>
  <si>
    <t>Kevin Gilligan</t>
  </si>
  <si>
    <t>Kurt Brillinger</t>
  </si>
  <si>
    <t>Kyle Appelhof</t>
  </si>
  <si>
    <t>Kyle Bell</t>
  </si>
  <si>
    <t>Kyle Staub</t>
  </si>
  <si>
    <t>Leo Petitti</t>
  </si>
  <si>
    <t>Marcel Walls</t>
  </si>
  <si>
    <t>Matthew Smith</t>
  </si>
  <si>
    <t>Michael Boyle</t>
  </si>
  <si>
    <t>Michael Federkeil</t>
  </si>
  <si>
    <t>Mike Gaudet</t>
  </si>
  <si>
    <t>Mike Mastromartino</t>
  </si>
  <si>
    <t>Mike Phenix</t>
  </si>
  <si>
    <t>Nat Couzens</t>
  </si>
  <si>
    <t>Nicholas West</t>
  </si>
  <si>
    <t>Pete McIntyre</t>
  </si>
  <si>
    <t>Quinn Staple</t>
  </si>
  <si>
    <t>Rohm Laxton</t>
  </si>
  <si>
    <t>Ryan Bessey</t>
  </si>
  <si>
    <t>Sadeeq Haji</t>
  </si>
  <si>
    <t>Samuel Burgess</t>
  </si>
  <si>
    <t>Scott Annesley</t>
  </si>
  <si>
    <t>Shane Scully</t>
  </si>
  <si>
    <t>Shane Towns</t>
  </si>
  <si>
    <t>Stefan Migotti</t>
  </si>
  <si>
    <t>Steven Ritchie</t>
  </si>
  <si>
    <t>Tanner Maciver</t>
  </si>
  <si>
    <t>Vince Gilligan</t>
  </si>
  <si>
    <t>Wade Hill</t>
  </si>
  <si>
    <t>William McDaniel</t>
  </si>
  <si>
    <t>Zach Carter</t>
  </si>
  <si>
    <t>AJ</t>
  </si>
  <si>
    <t>Nathan Behm</t>
  </si>
  <si>
    <t>Behm</t>
  </si>
  <si>
    <t>Duplicate Check rawFirstLast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</si>
</sst>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B0CB-02AB-46E8-B3D5-E6863A87D13E}">
  <dimension ref="A2:E11"/>
  <sheetViews>
    <sheetView workbookViewId="0">
      <selection activeCell="B9" sqref="B9"/>
    </sheetView>
  </sheetViews>
  <sheetFormatPr defaultRowHeight="15" x14ac:dyDescent="0.25"/>
  <cols>
    <col min="1" max="1" width="23.140625" bestFit="1" customWidth="1"/>
    <col min="2" max="2" width="18.140625" bestFit="1" customWidth="1"/>
    <col min="3" max="3" width="12" customWidth="1"/>
    <col min="4" max="4" width="18.140625" customWidth="1"/>
    <col min="5" max="5" width="17.85546875" bestFit="1" customWidth="1"/>
  </cols>
  <sheetData>
    <row r="2" spans="1:5" x14ac:dyDescent="0.25">
      <c r="A2" t="s">
        <v>22</v>
      </c>
      <c r="B2" t="s">
        <v>32</v>
      </c>
      <c r="C2" t="s">
        <v>21</v>
      </c>
      <c r="D2" t="s">
        <v>33</v>
      </c>
      <c r="E2" t="s">
        <v>0</v>
      </c>
    </row>
    <row r="3" spans="1:5" x14ac:dyDescent="0.25">
      <c r="A3" t="s">
        <v>23</v>
      </c>
      <c r="B3">
        <v>11835</v>
      </c>
      <c r="C3" t="s">
        <v>13</v>
      </c>
      <c r="D3" t="s">
        <v>34</v>
      </c>
      <c r="E3" t="s">
        <v>4</v>
      </c>
    </row>
    <row r="4" spans="1:5" x14ac:dyDescent="0.25">
      <c r="A4" t="s">
        <v>24</v>
      </c>
      <c r="B4">
        <v>3020</v>
      </c>
      <c r="C4" t="s">
        <v>13</v>
      </c>
      <c r="D4" t="s">
        <v>34</v>
      </c>
      <c r="E4" t="s">
        <v>6</v>
      </c>
    </row>
    <row r="5" spans="1:5" x14ac:dyDescent="0.25">
      <c r="A5" t="s">
        <v>25</v>
      </c>
      <c r="B5">
        <v>10828</v>
      </c>
      <c r="C5" t="s">
        <v>14</v>
      </c>
      <c r="D5" t="s">
        <v>35</v>
      </c>
      <c r="E5" t="s">
        <v>4</v>
      </c>
    </row>
    <row r="6" spans="1:5" x14ac:dyDescent="0.25">
      <c r="A6" t="s">
        <v>26</v>
      </c>
      <c r="B6" t="s">
        <v>5</v>
      </c>
      <c r="C6" t="s">
        <v>15</v>
      </c>
      <c r="D6" t="s">
        <v>36</v>
      </c>
      <c r="E6" t="s">
        <v>1</v>
      </c>
    </row>
    <row r="7" spans="1:5" x14ac:dyDescent="0.25">
      <c r="A7" t="s">
        <v>27</v>
      </c>
      <c r="B7" t="s">
        <v>3</v>
      </c>
      <c r="C7" t="s">
        <v>16</v>
      </c>
      <c r="D7" t="s">
        <v>37</v>
      </c>
      <c r="E7" t="s">
        <v>1</v>
      </c>
    </row>
    <row r="8" spans="1:5" x14ac:dyDescent="0.25">
      <c r="A8" t="s">
        <v>28</v>
      </c>
      <c r="B8">
        <v>25649</v>
      </c>
      <c r="C8" t="s">
        <v>17</v>
      </c>
      <c r="D8" t="s">
        <v>38</v>
      </c>
      <c r="E8" t="s">
        <v>2</v>
      </c>
    </row>
    <row r="9" spans="1:5" x14ac:dyDescent="0.25">
      <c r="A9" t="s">
        <v>29</v>
      </c>
      <c r="B9">
        <v>25655</v>
      </c>
      <c r="C9" t="s">
        <v>18</v>
      </c>
      <c r="D9" t="s">
        <v>39</v>
      </c>
      <c r="E9" t="s">
        <v>2</v>
      </c>
    </row>
    <row r="10" spans="1:5" x14ac:dyDescent="0.25">
      <c r="A10" t="s">
        <v>30</v>
      </c>
      <c r="B10">
        <v>28185</v>
      </c>
      <c r="C10" t="s">
        <v>19</v>
      </c>
      <c r="D10" t="s">
        <v>40</v>
      </c>
      <c r="E10" t="s">
        <v>2</v>
      </c>
    </row>
    <row r="11" spans="1:5" x14ac:dyDescent="0.25">
      <c r="A11" t="s">
        <v>31</v>
      </c>
      <c r="B11">
        <v>30960</v>
      </c>
      <c r="C11" t="s">
        <v>20</v>
      </c>
      <c r="D11" t="s">
        <v>41</v>
      </c>
      <c r="E1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2B05-8602-4C62-AC6F-5F2EE7025810}">
  <dimension ref="B2:E40"/>
  <sheetViews>
    <sheetView workbookViewId="0">
      <selection activeCell="L13" sqref="L13"/>
    </sheetView>
  </sheetViews>
  <sheetFormatPr defaultRowHeight="15" x14ac:dyDescent="0.25"/>
  <cols>
    <col min="2" max="2" width="14" customWidth="1"/>
    <col min="3" max="3" width="19.5703125" bestFit="1" customWidth="1"/>
    <col min="4" max="4" width="20.7109375" bestFit="1" customWidth="1"/>
    <col min="5" max="5" width="18.85546875" bestFit="1" customWidth="1"/>
  </cols>
  <sheetData>
    <row r="2" spans="2:5" x14ac:dyDescent="0.25">
      <c r="B2" t="s">
        <v>0</v>
      </c>
      <c r="C2" t="s">
        <v>8</v>
      </c>
      <c r="D2" t="s">
        <v>51</v>
      </c>
      <c r="E2" t="s">
        <v>7</v>
      </c>
    </row>
    <row r="3" spans="2:5" x14ac:dyDescent="0.25">
      <c r="B3" t="s">
        <v>2</v>
      </c>
      <c r="C3" t="s">
        <v>11</v>
      </c>
      <c r="D3" t="s">
        <v>89</v>
      </c>
      <c r="E3">
        <v>163</v>
      </c>
    </row>
    <row r="4" spans="2:5" x14ac:dyDescent="0.25">
      <c r="B4" t="s">
        <v>2</v>
      </c>
      <c r="C4" t="s">
        <v>12</v>
      </c>
      <c r="D4" t="s">
        <v>89</v>
      </c>
      <c r="E4">
        <v>164</v>
      </c>
    </row>
    <row r="5" spans="2:5" x14ac:dyDescent="0.25">
      <c r="B5" t="s">
        <v>2</v>
      </c>
      <c r="C5" t="s">
        <v>9</v>
      </c>
      <c r="D5" t="s">
        <v>89</v>
      </c>
      <c r="E5">
        <v>165</v>
      </c>
    </row>
    <row r="6" spans="2:5" x14ac:dyDescent="0.25">
      <c r="B6" t="s">
        <v>2</v>
      </c>
      <c r="C6" t="s">
        <v>10</v>
      </c>
      <c r="D6" t="s">
        <v>89</v>
      </c>
      <c r="E6">
        <v>166</v>
      </c>
    </row>
    <row r="7" spans="2:5" x14ac:dyDescent="0.25">
      <c r="B7" t="s">
        <v>4</v>
      </c>
      <c r="C7" t="s">
        <v>11</v>
      </c>
      <c r="D7" t="s">
        <v>89</v>
      </c>
      <c r="E7">
        <v>113</v>
      </c>
    </row>
    <row r="8" spans="2:5" x14ac:dyDescent="0.25">
      <c r="B8" t="s">
        <v>4</v>
      </c>
      <c r="C8" t="s">
        <v>12</v>
      </c>
      <c r="D8" t="s">
        <v>89</v>
      </c>
      <c r="E8">
        <v>114</v>
      </c>
    </row>
    <row r="9" spans="2:5" x14ac:dyDescent="0.25">
      <c r="B9" t="s">
        <v>4</v>
      </c>
      <c r="C9" t="s">
        <v>9</v>
      </c>
      <c r="D9" t="s">
        <v>89</v>
      </c>
      <c r="E9">
        <v>117</v>
      </c>
    </row>
    <row r="10" spans="2:5" x14ac:dyDescent="0.25">
      <c r="B10" t="s">
        <v>4</v>
      </c>
      <c r="C10" t="s">
        <v>10</v>
      </c>
      <c r="D10" t="s">
        <v>89</v>
      </c>
      <c r="E10">
        <v>118</v>
      </c>
    </row>
    <row r="11" spans="2:5" x14ac:dyDescent="0.25">
      <c r="B11" t="s">
        <v>6</v>
      </c>
      <c r="C11" t="s">
        <v>9</v>
      </c>
      <c r="D11" t="s">
        <v>89</v>
      </c>
      <c r="E11">
        <v>64</v>
      </c>
    </row>
    <row r="12" spans="2:5" x14ac:dyDescent="0.25">
      <c r="B12" t="s">
        <v>1</v>
      </c>
      <c r="C12" t="s">
        <v>11</v>
      </c>
      <c r="D12" t="s">
        <v>52</v>
      </c>
      <c r="E12" t="s">
        <v>46</v>
      </c>
    </row>
    <row r="13" spans="2:5" x14ac:dyDescent="0.25">
      <c r="B13" t="s">
        <v>1</v>
      </c>
      <c r="C13" t="s">
        <v>11</v>
      </c>
      <c r="D13" t="s">
        <v>53</v>
      </c>
      <c r="E13" t="s">
        <v>50</v>
      </c>
    </row>
    <row r="14" spans="2:5" x14ac:dyDescent="0.25">
      <c r="B14" t="s">
        <v>1</v>
      </c>
      <c r="C14" t="s">
        <v>12</v>
      </c>
      <c r="D14" t="s">
        <v>52</v>
      </c>
      <c r="E14" t="s">
        <v>47</v>
      </c>
    </row>
    <row r="15" spans="2:5" x14ac:dyDescent="0.25">
      <c r="B15" t="s">
        <v>1</v>
      </c>
      <c r="C15" t="s">
        <v>12</v>
      </c>
      <c r="D15" t="s">
        <v>53</v>
      </c>
      <c r="E15" t="s">
        <v>54</v>
      </c>
    </row>
    <row r="16" spans="2:5" x14ac:dyDescent="0.25">
      <c r="B16" t="s">
        <v>1</v>
      </c>
      <c r="C16" t="s">
        <v>9</v>
      </c>
      <c r="D16" t="s">
        <v>55</v>
      </c>
      <c r="E16" t="s">
        <v>48</v>
      </c>
    </row>
    <row r="17" spans="2:5" x14ac:dyDescent="0.25">
      <c r="B17" t="s">
        <v>1</v>
      </c>
      <c r="C17" t="s">
        <v>9</v>
      </c>
      <c r="D17" t="s">
        <v>56</v>
      </c>
      <c r="E17" t="s">
        <v>49</v>
      </c>
    </row>
    <row r="18" spans="2:5" x14ac:dyDescent="0.25">
      <c r="B18" t="s">
        <v>1</v>
      </c>
      <c r="C18" t="s">
        <v>10</v>
      </c>
      <c r="D18" t="s">
        <v>56</v>
      </c>
      <c r="E18" t="s">
        <v>57</v>
      </c>
    </row>
    <row r="19" spans="2:5" x14ac:dyDescent="0.25">
      <c r="B19" t="s">
        <v>1</v>
      </c>
      <c r="C19" t="s">
        <v>76</v>
      </c>
      <c r="D19" t="s">
        <v>59</v>
      </c>
      <c r="E19" t="s">
        <v>58</v>
      </c>
    </row>
    <row r="20" spans="2:5" x14ac:dyDescent="0.25">
      <c r="B20" t="s">
        <v>1</v>
      </c>
      <c r="C20" t="s">
        <v>77</v>
      </c>
      <c r="D20" t="s">
        <v>59</v>
      </c>
      <c r="E20" t="s">
        <v>60</v>
      </c>
    </row>
    <row r="21" spans="2:5" x14ac:dyDescent="0.25">
      <c r="B21" t="s">
        <v>1</v>
      </c>
      <c r="C21" t="s">
        <v>62</v>
      </c>
      <c r="D21" t="s">
        <v>55</v>
      </c>
      <c r="E21" t="s">
        <v>61</v>
      </c>
    </row>
    <row r="22" spans="2:5" x14ac:dyDescent="0.25">
      <c r="B22" t="s">
        <v>1</v>
      </c>
      <c r="C22" t="s">
        <v>62</v>
      </c>
      <c r="D22" t="s">
        <v>56</v>
      </c>
      <c r="E22" t="s">
        <v>63</v>
      </c>
    </row>
    <row r="23" spans="2:5" x14ac:dyDescent="0.25">
      <c r="B23" t="s">
        <v>1</v>
      </c>
      <c r="C23" t="s">
        <v>65</v>
      </c>
      <c r="D23" t="s">
        <v>56</v>
      </c>
      <c r="E23" t="s">
        <v>64</v>
      </c>
    </row>
    <row r="24" spans="2:5" x14ac:dyDescent="0.25">
      <c r="B24" t="s">
        <v>1</v>
      </c>
      <c r="C24" t="s">
        <v>67</v>
      </c>
      <c r="D24" t="s">
        <v>55</v>
      </c>
      <c r="E24" t="s">
        <v>66</v>
      </c>
    </row>
    <row r="25" spans="2:5" x14ac:dyDescent="0.25">
      <c r="B25" t="s">
        <v>1</v>
      </c>
      <c r="C25" t="s">
        <v>68</v>
      </c>
      <c r="D25" t="s">
        <v>55</v>
      </c>
      <c r="E25" t="s">
        <v>69</v>
      </c>
    </row>
    <row r="26" spans="2:5" x14ac:dyDescent="0.25">
      <c r="B26" t="s">
        <v>1</v>
      </c>
      <c r="C26" t="s">
        <v>42</v>
      </c>
      <c r="D26" t="s">
        <v>71</v>
      </c>
      <c r="E26" t="s">
        <v>70</v>
      </c>
    </row>
    <row r="27" spans="2:5" x14ac:dyDescent="0.25">
      <c r="B27" t="s">
        <v>1</v>
      </c>
      <c r="C27" t="s">
        <v>42</v>
      </c>
      <c r="D27" t="s">
        <v>55</v>
      </c>
      <c r="E27" t="s">
        <v>44</v>
      </c>
    </row>
    <row r="28" spans="2:5" x14ac:dyDescent="0.25">
      <c r="B28" t="s">
        <v>1</v>
      </c>
      <c r="C28" t="s">
        <v>42</v>
      </c>
      <c r="D28" t="s">
        <v>56</v>
      </c>
      <c r="E28" t="s">
        <v>72</v>
      </c>
    </row>
    <row r="29" spans="2:5" x14ac:dyDescent="0.25">
      <c r="B29" t="s">
        <v>1</v>
      </c>
      <c r="C29" t="s">
        <v>43</v>
      </c>
      <c r="D29" t="s">
        <v>56</v>
      </c>
      <c r="E29" t="s">
        <v>73</v>
      </c>
    </row>
    <row r="30" spans="2:5" x14ac:dyDescent="0.25">
      <c r="B30" t="s">
        <v>1</v>
      </c>
      <c r="C30" t="s">
        <v>76</v>
      </c>
      <c r="D30" t="s">
        <v>74</v>
      </c>
      <c r="E30" t="s">
        <v>75</v>
      </c>
    </row>
    <row r="31" spans="2:5" x14ac:dyDescent="0.25">
      <c r="B31" t="s">
        <v>1</v>
      </c>
      <c r="C31" t="s">
        <v>77</v>
      </c>
      <c r="D31" t="s">
        <v>74</v>
      </c>
      <c r="E31" t="s">
        <v>78</v>
      </c>
    </row>
    <row r="32" spans="2:5" x14ac:dyDescent="0.25">
      <c r="B32" t="s">
        <v>1</v>
      </c>
      <c r="C32" t="s">
        <v>62</v>
      </c>
      <c r="D32" t="s">
        <v>53</v>
      </c>
      <c r="E32" t="s">
        <v>79</v>
      </c>
    </row>
    <row r="33" spans="2:5" x14ac:dyDescent="0.25">
      <c r="B33" t="s">
        <v>1</v>
      </c>
      <c r="C33" t="s">
        <v>65</v>
      </c>
      <c r="D33" t="s">
        <v>55</v>
      </c>
      <c r="E33" t="s">
        <v>80</v>
      </c>
    </row>
    <row r="34" spans="2:5" x14ac:dyDescent="0.25">
      <c r="B34" t="s">
        <v>1</v>
      </c>
      <c r="C34" t="s">
        <v>82</v>
      </c>
      <c r="D34" t="s">
        <v>53</v>
      </c>
      <c r="E34" t="s">
        <v>81</v>
      </c>
    </row>
    <row r="35" spans="2:5" x14ac:dyDescent="0.25">
      <c r="B35" t="s">
        <v>1</v>
      </c>
      <c r="C35" t="s">
        <v>82</v>
      </c>
      <c r="D35" t="s">
        <v>55</v>
      </c>
      <c r="E35" t="s">
        <v>83</v>
      </c>
    </row>
    <row r="36" spans="2:5" x14ac:dyDescent="0.25">
      <c r="B36" t="s">
        <v>1</v>
      </c>
      <c r="C36" t="s">
        <v>85</v>
      </c>
      <c r="D36" t="s">
        <v>53</v>
      </c>
      <c r="E36" t="s">
        <v>84</v>
      </c>
    </row>
    <row r="37" spans="2:5" x14ac:dyDescent="0.25">
      <c r="B37" t="s">
        <v>1</v>
      </c>
      <c r="C37" t="s">
        <v>67</v>
      </c>
      <c r="D37" t="s">
        <v>53</v>
      </c>
      <c r="E37" t="s">
        <v>86</v>
      </c>
    </row>
    <row r="38" spans="2:5" x14ac:dyDescent="0.25">
      <c r="B38" t="s">
        <v>1</v>
      </c>
      <c r="C38" t="s">
        <v>68</v>
      </c>
      <c r="D38" t="s">
        <v>53</v>
      </c>
      <c r="E38" t="s">
        <v>87</v>
      </c>
    </row>
    <row r="39" spans="2:5" x14ac:dyDescent="0.25">
      <c r="B39" t="s">
        <v>1</v>
      </c>
      <c r="C39" t="s">
        <v>42</v>
      </c>
      <c r="D39" t="s">
        <v>53</v>
      </c>
      <c r="E39" t="s">
        <v>88</v>
      </c>
    </row>
    <row r="40" spans="2:5" x14ac:dyDescent="0.25">
      <c r="B40" t="s">
        <v>1</v>
      </c>
      <c r="C40" t="s">
        <v>43</v>
      </c>
      <c r="D40" t="s">
        <v>55</v>
      </c>
      <c r="E40" t="s">
        <v>45</v>
      </c>
    </row>
  </sheetData>
  <conditionalFormatting sqref="G12:G4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2E30-E126-491B-9A75-50C11128705A}">
  <dimension ref="A1:H259"/>
  <sheetViews>
    <sheetView tabSelected="1" workbookViewId="0">
      <selection activeCell="D8" sqref="D8"/>
    </sheetView>
  </sheetViews>
  <sheetFormatPr defaultRowHeight="15" x14ac:dyDescent="0.25"/>
  <cols>
    <col min="2" max="2" width="23.140625" bestFit="1" customWidth="1"/>
    <col min="4" max="4" width="14.28515625" bestFit="1" customWidth="1"/>
    <col min="5" max="5" width="21.42578125" bestFit="1" customWidth="1"/>
    <col min="6" max="6" width="23.140625" bestFit="1" customWidth="1"/>
    <col min="7" max="7" width="17.42578125" bestFit="1" customWidth="1"/>
    <col min="8" max="8" width="17.140625" bestFit="1" customWidth="1"/>
  </cols>
  <sheetData>
    <row r="1" spans="1:8" x14ac:dyDescent="0.25">
      <c r="A1" t="s">
        <v>865</v>
      </c>
      <c r="B1" t="s">
        <v>426</v>
      </c>
      <c r="C1" t="s">
        <v>420</v>
      </c>
      <c r="D1" t="s">
        <v>421</v>
      </c>
      <c r="E1" t="s">
        <v>422</v>
      </c>
      <c r="F1" t="s">
        <v>425</v>
      </c>
      <c r="G1" t="s">
        <v>423</v>
      </c>
      <c r="H1" t="s">
        <v>424</v>
      </c>
    </row>
    <row r="2" spans="1:8" x14ac:dyDescent="0.25">
      <c r="A2">
        <f>COUNTIFS(B:B,B2)</f>
        <v>1</v>
      </c>
      <c r="B2" t="str">
        <f>C2&amp;" "&amp;D2</f>
        <v>Aaron LaBerge</v>
      </c>
      <c r="C2" t="s">
        <v>90</v>
      </c>
      <c r="D2" t="s">
        <v>91</v>
      </c>
      <c r="E2" t="s">
        <v>92</v>
      </c>
      <c r="F2" t="s">
        <v>482</v>
      </c>
      <c r="G2" t="s">
        <v>90</v>
      </c>
      <c r="H2" t="s">
        <v>91</v>
      </c>
    </row>
    <row r="3" spans="1:8" x14ac:dyDescent="0.25">
      <c r="A3">
        <f>COUNTIFS(B:B,B3)</f>
        <v>1</v>
      </c>
      <c r="B3" t="s">
        <v>483</v>
      </c>
      <c r="C3" t="s">
        <v>90</v>
      </c>
      <c r="D3" t="s">
        <v>484</v>
      </c>
      <c r="F3" t="s">
        <v>482</v>
      </c>
      <c r="G3" t="s">
        <v>90</v>
      </c>
      <c r="H3" t="s">
        <v>91</v>
      </c>
    </row>
    <row r="4" spans="1:8" x14ac:dyDescent="0.25">
      <c r="A4">
        <f>COUNTIFS(B:B,B4)</f>
        <v>1</v>
      </c>
      <c r="B4" t="s">
        <v>485</v>
      </c>
      <c r="C4" t="s">
        <v>93</v>
      </c>
      <c r="D4" t="s">
        <v>486</v>
      </c>
      <c r="F4" t="s">
        <v>446</v>
      </c>
      <c r="G4" t="s">
        <v>93</v>
      </c>
      <c r="H4" t="s">
        <v>447</v>
      </c>
    </row>
    <row r="5" spans="1:8" x14ac:dyDescent="0.25">
      <c r="A5">
        <f>COUNTIFS(B:B,B5)</f>
        <v>1</v>
      </c>
      <c r="B5" t="s">
        <v>446</v>
      </c>
      <c r="C5" t="s">
        <v>93</v>
      </c>
      <c r="D5" t="s">
        <v>447</v>
      </c>
      <c r="F5" t="s">
        <v>446</v>
      </c>
      <c r="G5" t="s">
        <v>93</v>
      </c>
      <c r="H5" t="s">
        <v>447</v>
      </c>
    </row>
    <row r="6" spans="1:8" x14ac:dyDescent="0.25">
      <c r="A6">
        <f>COUNTIFS(B:B,B6)</f>
        <v>1</v>
      </c>
      <c r="B6" t="str">
        <f>C6&amp;" "&amp;D6</f>
        <v>Adam Miller</v>
      </c>
      <c r="C6" t="s">
        <v>93</v>
      </c>
      <c r="D6" t="s">
        <v>94</v>
      </c>
      <c r="E6" t="s">
        <v>95</v>
      </c>
      <c r="F6" t="s">
        <v>487</v>
      </c>
      <c r="G6" t="s">
        <v>93</v>
      </c>
      <c r="H6" t="s">
        <v>94</v>
      </c>
    </row>
    <row r="7" spans="1:8" x14ac:dyDescent="0.25">
      <c r="A7">
        <f>COUNTIFS(B:B,B7)</f>
        <v>1</v>
      </c>
      <c r="B7" t="s">
        <v>488</v>
      </c>
      <c r="C7" t="s">
        <v>489</v>
      </c>
      <c r="D7" t="s">
        <v>490</v>
      </c>
      <c r="F7" t="s">
        <v>488</v>
      </c>
      <c r="G7" t="s">
        <v>489</v>
      </c>
      <c r="H7" t="s">
        <v>490</v>
      </c>
    </row>
    <row r="8" spans="1:8" x14ac:dyDescent="0.25">
      <c r="A8">
        <f>COUNTIFS(B:B,B8)</f>
        <v>1</v>
      </c>
      <c r="B8" t="str">
        <f>C8&amp;" "&amp;D8</f>
        <v>Aj Mastromartino</v>
      </c>
      <c r="C8" t="s">
        <v>96</v>
      </c>
      <c r="D8" t="s">
        <v>97</v>
      </c>
      <c r="E8" t="s">
        <v>98</v>
      </c>
      <c r="F8" t="s">
        <v>803</v>
      </c>
      <c r="G8" t="s">
        <v>862</v>
      </c>
      <c r="H8" t="s">
        <v>97</v>
      </c>
    </row>
    <row r="9" spans="1:8" x14ac:dyDescent="0.25">
      <c r="A9">
        <f>COUNTIFS(B:B,B9)</f>
        <v>1</v>
      </c>
      <c r="B9" t="s">
        <v>491</v>
      </c>
      <c r="C9" t="s">
        <v>99</v>
      </c>
      <c r="D9" t="s">
        <v>492</v>
      </c>
      <c r="F9" t="s">
        <v>491</v>
      </c>
      <c r="G9" t="s">
        <v>99</v>
      </c>
      <c r="H9" t="s">
        <v>492</v>
      </c>
    </row>
    <row r="10" spans="1:8" x14ac:dyDescent="0.25">
      <c r="A10">
        <f>COUNTIFS(B:B,B10)</f>
        <v>1</v>
      </c>
      <c r="B10" t="s">
        <v>493</v>
      </c>
      <c r="C10" t="s">
        <v>99</v>
      </c>
      <c r="D10" t="s">
        <v>494</v>
      </c>
      <c r="F10" t="s">
        <v>493</v>
      </c>
      <c r="G10" t="s">
        <v>99</v>
      </c>
      <c r="H10" t="s">
        <v>494</v>
      </c>
    </row>
    <row r="11" spans="1:8" x14ac:dyDescent="0.25">
      <c r="A11">
        <f>COUNTIFS(B:B,B11)</f>
        <v>1</v>
      </c>
      <c r="B11" t="str">
        <f>C11&amp;" "&amp;D11</f>
        <v>Alex Sandilands</v>
      </c>
      <c r="C11" t="s">
        <v>99</v>
      </c>
      <c r="D11" t="s">
        <v>100</v>
      </c>
      <c r="E11" t="s">
        <v>101</v>
      </c>
      <c r="F11" t="s">
        <v>804</v>
      </c>
      <c r="G11" t="s">
        <v>99</v>
      </c>
      <c r="H11" t="s">
        <v>100</v>
      </c>
    </row>
    <row r="12" spans="1:8" x14ac:dyDescent="0.25">
      <c r="A12">
        <f>COUNTIFS(B:B,B12)</f>
        <v>1</v>
      </c>
      <c r="B12" t="s">
        <v>495</v>
      </c>
      <c r="C12" t="s">
        <v>99</v>
      </c>
      <c r="D12" t="s">
        <v>496</v>
      </c>
      <c r="F12" t="s">
        <v>804</v>
      </c>
      <c r="G12" t="s">
        <v>99</v>
      </c>
      <c r="H12" t="s">
        <v>100</v>
      </c>
    </row>
    <row r="13" spans="1:8" x14ac:dyDescent="0.25">
      <c r="A13">
        <f>COUNTIFS(B:B,B13)</f>
        <v>1</v>
      </c>
      <c r="B13" t="str">
        <f>C13&amp;" "&amp;D13</f>
        <v>Aly Saleh</v>
      </c>
      <c r="C13" t="s">
        <v>102</v>
      </c>
      <c r="D13" t="s">
        <v>103</v>
      </c>
      <c r="E13" t="s">
        <v>104</v>
      </c>
      <c r="F13" t="s">
        <v>805</v>
      </c>
      <c r="G13" t="s">
        <v>102</v>
      </c>
      <c r="H13" t="s">
        <v>103</v>
      </c>
    </row>
    <row r="14" spans="1:8" x14ac:dyDescent="0.25">
      <c r="A14">
        <f>COUNTIFS(B:B,B14)</f>
        <v>1</v>
      </c>
      <c r="B14" t="s">
        <v>497</v>
      </c>
      <c r="C14" t="s">
        <v>102</v>
      </c>
      <c r="D14" t="s">
        <v>498</v>
      </c>
      <c r="F14" t="s">
        <v>805</v>
      </c>
      <c r="G14" t="s">
        <v>102</v>
      </c>
      <c r="H14" t="s">
        <v>103</v>
      </c>
    </row>
    <row r="15" spans="1:8" x14ac:dyDescent="0.25">
      <c r="A15">
        <f>COUNTIFS(B:B,B15)</f>
        <v>1</v>
      </c>
      <c r="B15" t="str">
        <f t="shared" ref="B15:B22" si="0">C15&amp;" "&amp;D15</f>
        <v>Alyc Keith</v>
      </c>
      <c r="C15" t="s">
        <v>105</v>
      </c>
      <c r="D15" t="s">
        <v>106</v>
      </c>
      <c r="E15" t="s">
        <v>107</v>
      </c>
      <c r="F15" t="s">
        <v>806</v>
      </c>
      <c r="G15" t="s">
        <v>105</v>
      </c>
      <c r="H15" t="s">
        <v>106</v>
      </c>
    </row>
    <row r="16" spans="1:8" x14ac:dyDescent="0.25">
      <c r="A16">
        <f>COUNTIFS(B:B,B16)</f>
        <v>1</v>
      </c>
      <c r="B16" t="str">
        <f t="shared" si="0"/>
        <v>Andreas Hlusiak</v>
      </c>
      <c r="C16" t="s">
        <v>108</v>
      </c>
      <c r="D16" t="s">
        <v>109</v>
      </c>
      <c r="E16" t="s">
        <v>110</v>
      </c>
      <c r="F16" t="s">
        <v>807</v>
      </c>
      <c r="G16" t="s">
        <v>108</v>
      </c>
      <c r="H16" t="s">
        <v>109</v>
      </c>
    </row>
    <row r="17" spans="1:8" x14ac:dyDescent="0.25">
      <c r="A17">
        <f>COUNTIFS(B:B,B17)</f>
        <v>1</v>
      </c>
      <c r="B17" t="str">
        <f t="shared" si="0"/>
        <v>Andrew Johnston</v>
      </c>
      <c r="C17" t="s">
        <v>111</v>
      </c>
      <c r="D17" t="s">
        <v>112</v>
      </c>
      <c r="E17" t="s">
        <v>113</v>
      </c>
      <c r="F17" t="s">
        <v>499</v>
      </c>
      <c r="G17" t="s">
        <v>111</v>
      </c>
      <c r="H17" t="s">
        <v>112</v>
      </c>
    </row>
    <row r="18" spans="1:8" x14ac:dyDescent="0.25">
      <c r="A18">
        <f>COUNTIFS(B:B,B18)</f>
        <v>1</v>
      </c>
      <c r="B18" t="str">
        <f t="shared" si="0"/>
        <v>Andrew Stevenson</v>
      </c>
      <c r="C18" t="s">
        <v>111</v>
      </c>
      <c r="D18" t="s">
        <v>114</v>
      </c>
      <c r="E18" t="s">
        <v>115</v>
      </c>
      <c r="F18" t="s">
        <v>808</v>
      </c>
      <c r="G18" t="s">
        <v>111</v>
      </c>
      <c r="H18" t="s">
        <v>114</v>
      </c>
    </row>
    <row r="19" spans="1:8" x14ac:dyDescent="0.25">
      <c r="A19">
        <f>COUNTIFS(B:B,B19)</f>
        <v>1</v>
      </c>
      <c r="B19" t="str">
        <f t="shared" si="0"/>
        <v>Austin Halstead</v>
      </c>
      <c r="C19" t="s">
        <v>116</v>
      </c>
      <c r="D19" t="s">
        <v>117</v>
      </c>
      <c r="E19" t="s">
        <v>118</v>
      </c>
      <c r="F19" t="s">
        <v>809</v>
      </c>
      <c r="G19" t="s">
        <v>116</v>
      </c>
      <c r="H19" t="s">
        <v>117</v>
      </c>
    </row>
    <row r="20" spans="1:8" x14ac:dyDescent="0.25">
      <c r="A20">
        <f>COUNTIFS(B:B,B20)</f>
        <v>1</v>
      </c>
      <c r="B20" t="str">
        <f t="shared" si="0"/>
        <v>Austin Warkentin</v>
      </c>
      <c r="C20" t="s">
        <v>116</v>
      </c>
      <c r="D20" t="s">
        <v>119</v>
      </c>
      <c r="E20" t="s">
        <v>120</v>
      </c>
      <c r="F20" t="s">
        <v>810</v>
      </c>
      <c r="G20" t="s">
        <v>116</v>
      </c>
      <c r="H20" t="s">
        <v>119</v>
      </c>
    </row>
    <row r="21" spans="1:8" x14ac:dyDescent="0.25">
      <c r="A21">
        <f>COUNTIFS(B:B,B21)</f>
        <v>1</v>
      </c>
      <c r="B21" t="str">
        <f t="shared" si="0"/>
        <v>Ben Johnson</v>
      </c>
      <c r="C21" t="s">
        <v>121</v>
      </c>
      <c r="D21" t="s">
        <v>122</v>
      </c>
      <c r="E21" t="s">
        <v>123</v>
      </c>
      <c r="F21" t="s">
        <v>500</v>
      </c>
      <c r="G21" t="s">
        <v>121</v>
      </c>
      <c r="H21" t="s">
        <v>122</v>
      </c>
    </row>
    <row r="22" spans="1:8" x14ac:dyDescent="0.25">
      <c r="A22">
        <f>COUNTIFS(B:B,B22)</f>
        <v>1</v>
      </c>
      <c r="B22" t="str">
        <f t="shared" si="0"/>
        <v>Ben Klein</v>
      </c>
      <c r="C22" t="s">
        <v>121</v>
      </c>
      <c r="D22" t="s">
        <v>124</v>
      </c>
      <c r="E22" t="s">
        <v>125</v>
      </c>
      <c r="F22" t="s">
        <v>501</v>
      </c>
      <c r="G22" t="s">
        <v>121</v>
      </c>
      <c r="H22" t="s">
        <v>124</v>
      </c>
    </row>
    <row r="23" spans="1:8" x14ac:dyDescent="0.25">
      <c r="A23">
        <f>COUNTIFS(B:B,B23)</f>
        <v>1</v>
      </c>
      <c r="B23" t="s">
        <v>502</v>
      </c>
      <c r="C23" t="s">
        <v>121</v>
      </c>
      <c r="D23" t="s">
        <v>503</v>
      </c>
      <c r="F23" t="s">
        <v>501</v>
      </c>
      <c r="G23" t="s">
        <v>121</v>
      </c>
      <c r="H23" t="s">
        <v>124</v>
      </c>
    </row>
    <row r="24" spans="1:8" x14ac:dyDescent="0.25">
      <c r="A24">
        <f>COUNTIFS(B:B,B24)</f>
        <v>1</v>
      </c>
      <c r="B24" t="s">
        <v>508</v>
      </c>
      <c r="C24" t="s">
        <v>509</v>
      </c>
      <c r="D24" t="s">
        <v>124</v>
      </c>
      <c r="F24" t="s">
        <v>501</v>
      </c>
      <c r="G24" t="s">
        <v>121</v>
      </c>
      <c r="H24" t="s">
        <v>124</v>
      </c>
    </row>
    <row r="25" spans="1:8" x14ac:dyDescent="0.25">
      <c r="A25">
        <f>COUNTIFS(B:B,B25)</f>
        <v>1</v>
      </c>
      <c r="B25" t="s">
        <v>504</v>
      </c>
      <c r="C25" t="s">
        <v>121</v>
      </c>
      <c r="D25" t="s">
        <v>505</v>
      </c>
      <c r="F25" t="s">
        <v>504</v>
      </c>
      <c r="G25" t="s">
        <v>121</v>
      </c>
      <c r="H25" t="s">
        <v>505</v>
      </c>
    </row>
    <row r="26" spans="1:8" x14ac:dyDescent="0.25">
      <c r="A26">
        <f>COUNTIFS(B:B,B26)</f>
        <v>1</v>
      </c>
      <c r="B26" t="s">
        <v>506</v>
      </c>
      <c r="C26" t="s">
        <v>121</v>
      </c>
      <c r="D26" t="s">
        <v>507</v>
      </c>
      <c r="F26" t="s">
        <v>506</v>
      </c>
      <c r="G26" t="s">
        <v>121</v>
      </c>
      <c r="H26" t="s">
        <v>507</v>
      </c>
    </row>
    <row r="27" spans="1:8" x14ac:dyDescent="0.25">
      <c r="A27">
        <f>COUNTIFS(B:B,B27)</f>
        <v>1</v>
      </c>
      <c r="B27" t="s">
        <v>510</v>
      </c>
      <c r="C27" t="s">
        <v>509</v>
      </c>
      <c r="D27" t="s">
        <v>511</v>
      </c>
      <c r="F27" t="s">
        <v>510</v>
      </c>
      <c r="G27" t="s">
        <v>509</v>
      </c>
      <c r="H27" t="s">
        <v>511</v>
      </c>
    </row>
    <row r="28" spans="1:8" x14ac:dyDescent="0.25">
      <c r="A28">
        <f>COUNTIFS(B:B,B28)</f>
        <v>1</v>
      </c>
      <c r="B28" t="s">
        <v>512</v>
      </c>
      <c r="C28" t="s">
        <v>513</v>
      </c>
      <c r="D28" t="s">
        <v>514</v>
      </c>
      <c r="F28" t="s">
        <v>512</v>
      </c>
      <c r="G28" t="s">
        <v>513</v>
      </c>
      <c r="H28" t="s">
        <v>514</v>
      </c>
    </row>
    <row r="29" spans="1:8" x14ac:dyDescent="0.25">
      <c r="A29">
        <f>COUNTIFS(B:B,B29)</f>
        <v>1</v>
      </c>
      <c r="B29" t="str">
        <f>C29&amp;" "&amp;D29</f>
        <v>Brad MacDonald</v>
      </c>
      <c r="C29" t="s">
        <v>126</v>
      </c>
      <c r="D29" t="s">
        <v>127</v>
      </c>
      <c r="E29" t="s">
        <v>128</v>
      </c>
      <c r="F29" t="s">
        <v>515</v>
      </c>
      <c r="G29" t="s">
        <v>126</v>
      </c>
      <c r="H29" t="s">
        <v>127</v>
      </c>
    </row>
    <row r="30" spans="1:8" x14ac:dyDescent="0.25">
      <c r="A30">
        <f>COUNTIFS(B:B,B30)</f>
        <v>1</v>
      </c>
      <c r="B30" t="str">
        <f>C30&amp;" "&amp;D30</f>
        <v>Brad Marks</v>
      </c>
      <c r="C30" t="s">
        <v>126</v>
      </c>
      <c r="D30" t="s">
        <v>129</v>
      </c>
      <c r="E30" t="s">
        <v>130</v>
      </c>
      <c r="F30" t="s">
        <v>516</v>
      </c>
      <c r="G30" t="s">
        <v>126</v>
      </c>
      <c r="H30" t="s">
        <v>129</v>
      </c>
    </row>
    <row r="31" spans="1:8" x14ac:dyDescent="0.25">
      <c r="A31">
        <f>COUNTIFS(B:B,B31)</f>
        <v>1</v>
      </c>
      <c r="B31" t="s">
        <v>517</v>
      </c>
      <c r="C31" t="s">
        <v>126</v>
      </c>
      <c r="D31" t="s">
        <v>518</v>
      </c>
      <c r="F31" t="s">
        <v>516</v>
      </c>
      <c r="G31" t="s">
        <v>126</v>
      </c>
      <c r="H31" t="s">
        <v>129</v>
      </c>
    </row>
    <row r="32" spans="1:8" x14ac:dyDescent="0.25">
      <c r="A32">
        <f>COUNTIFS(B:B,B32)</f>
        <v>1</v>
      </c>
      <c r="B32" t="str">
        <f>C32&amp;" "&amp;D32</f>
        <v>Brayden Ede</v>
      </c>
      <c r="C32" t="s">
        <v>131</v>
      </c>
      <c r="D32" t="s">
        <v>132</v>
      </c>
      <c r="E32" t="s">
        <v>133</v>
      </c>
      <c r="F32" t="s">
        <v>811</v>
      </c>
      <c r="G32" t="s">
        <v>131</v>
      </c>
      <c r="H32" t="s">
        <v>132</v>
      </c>
    </row>
    <row r="33" spans="1:8" x14ac:dyDescent="0.25">
      <c r="A33">
        <f>COUNTIFS(B:B,B33)</f>
        <v>1</v>
      </c>
      <c r="B33" t="str">
        <f>C33&amp;" "&amp;D33</f>
        <v>Braydon Kimmie</v>
      </c>
      <c r="C33" t="s">
        <v>134</v>
      </c>
      <c r="D33" t="s">
        <v>135</v>
      </c>
      <c r="E33" t="s">
        <v>136</v>
      </c>
      <c r="F33" t="s">
        <v>519</v>
      </c>
      <c r="G33" t="s">
        <v>134</v>
      </c>
      <c r="H33" t="s">
        <v>135</v>
      </c>
    </row>
    <row r="34" spans="1:8" x14ac:dyDescent="0.25">
      <c r="A34">
        <f>COUNTIFS(B:B,B34)</f>
        <v>1</v>
      </c>
      <c r="B34" t="str">
        <f>C34&amp;" "&amp;D34</f>
        <v>Brendan Brown</v>
      </c>
      <c r="C34" t="s">
        <v>137</v>
      </c>
      <c r="D34" t="s">
        <v>138</v>
      </c>
      <c r="E34" t="s">
        <v>139</v>
      </c>
      <c r="F34" t="s">
        <v>520</v>
      </c>
      <c r="G34" t="s">
        <v>137</v>
      </c>
      <c r="H34" t="s">
        <v>138</v>
      </c>
    </row>
    <row r="35" spans="1:8" x14ac:dyDescent="0.25">
      <c r="A35">
        <f>COUNTIFS(B:B,B35)</f>
        <v>1</v>
      </c>
      <c r="B35" t="str">
        <f>C35&amp;" "&amp;D35</f>
        <v>Brendan Stewart</v>
      </c>
      <c r="C35" t="s">
        <v>137</v>
      </c>
      <c r="D35" t="s">
        <v>140</v>
      </c>
      <c r="E35" t="s">
        <v>141</v>
      </c>
      <c r="F35" t="s">
        <v>812</v>
      </c>
      <c r="G35" t="s">
        <v>137</v>
      </c>
      <c r="H35" t="s">
        <v>140</v>
      </c>
    </row>
    <row r="36" spans="1:8" x14ac:dyDescent="0.25">
      <c r="A36">
        <f>COUNTIFS(B:B,B36)</f>
        <v>1</v>
      </c>
      <c r="B36" t="s">
        <v>521</v>
      </c>
      <c r="C36" t="s">
        <v>522</v>
      </c>
      <c r="D36" t="s">
        <v>523</v>
      </c>
      <c r="F36" t="s">
        <v>521</v>
      </c>
      <c r="G36" t="s">
        <v>522</v>
      </c>
      <c r="H36" t="s">
        <v>523</v>
      </c>
    </row>
    <row r="37" spans="1:8" x14ac:dyDescent="0.25">
      <c r="A37">
        <f>COUNTIFS(B:B,B37)</f>
        <v>1</v>
      </c>
      <c r="B37" t="s">
        <v>448</v>
      </c>
      <c r="C37" t="s">
        <v>449</v>
      </c>
      <c r="D37" t="s">
        <v>450</v>
      </c>
      <c r="F37" t="s">
        <v>448</v>
      </c>
      <c r="G37" t="s">
        <v>449</v>
      </c>
      <c r="H37" t="s">
        <v>450</v>
      </c>
    </row>
    <row r="38" spans="1:8" x14ac:dyDescent="0.25">
      <c r="A38">
        <f>COUNTIFS(B:B,B38)</f>
        <v>1</v>
      </c>
      <c r="B38" t="s">
        <v>451</v>
      </c>
      <c r="C38" t="s">
        <v>449</v>
      </c>
      <c r="D38" t="s">
        <v>452</v>
      </c>
      <c r="F38" t="s">
        <v>448</v>
      </c>
      <c r="G38" t="s">
        <v>449</v>
      </c>
      <c r="H38" t="s">
        <v>450</v>
      </c>
    </row>
    <row r="39" spans="1:8" x14ac:dyDescent="0.25">
      <c r="A39">
        <f>COUNTIFS(B:B,B39)</f>
        <v>1</v>
      </c>
      <c r="B39" t="str">
        <f>C39&amp;" "&amp;D39</f>
        <v>Cal Adams</v>
      </c>
      <c r="C39" t="s">
        <v>142</v>
      </c>
      <c r="D39" t="s">
        <v>143</v>
      </c>
      <c r="E39" t="s">
        <v>144</v>
      </c>
      <c r="F39" t="s">
        <v>524</v>
      </c>
      <c r="G39" t="s">
        <v>142</v>
      </c>
      <c r="H39" t="s">
        <v>143</v>
      </c>
    </row>
    <row r="40" spans="1:8" x14ac:dyDescent="0.25">
      <c r="A40">
        <f>COUNTIFS(B:B,B40)</f>
        <v>1</v>
      </c>
      <c r="B40" t="str">
        <f>C40&amp;" "&amp;D40</f>
        <v>Cale Chambers</v>
      </c>
      <c r="C40" t="s">
        <v>145</v>
      </c>
      <c r="D40" t="s">
        <v>146</v>
      </c>
      <c r="E40" t="s">
        <v>147</v>
      </c>
      <c r="F40" t="s">
        <v>813</v>
      </c>
      <c r="G40" t="s">
        <v>145</v>
      </c>
      <c r="H40" t="s">
        <v>146</v>
      </c>
    </row>
    <row r="41" spans="1:8" x14ac:dyDescent="0.25">
      <c r="A41">
        <f>COUNTIFS(B:B,B41)</f>
        <v>1</v>
      </c>
      <c r="B41" t="str">
        <f>C41&amp;" "&amp;D41</f>
        <v>Cale Louden</v>
      </c>
      <c r="C41" t="s">
        <v>145</v>
      </c>
      <c r="D41" t="s">
        <v>148</v>
      </c>
      <c r="E41" t="s">
        <v>149</v>
      </c>
      <c r="F41" t="s">
        <v>525</v>
      </c>
      <c r="G41" t="s">
        <v>145</v>
      </c>
      <c r="H41" t="s">
        <v>148</v>
      </c>
    </row>
    <row r="42" spans="1:8" x14ac:dyDescent="0.25">
      <c r="A42">
        <f>COUNTIFS(B:B,B42)</f>
        <v>1</v>
      </c>
      <c r="B42" t="s">
        <v>526</v>
      </c>
      <c r="C42" t="s">
        <v>145</v>
      </c>
      <c r="D42" t="s">
        <v>527</v>
      </c>
      <c r="F42" t="s">
        <v>525</v>
      </c>
      <c r="G42" t="s">
        <v>145</v>
      </c>
      <c r="H42" t="s">
        <v>148</v>
      </c>
    </row>
    <row r="43" spans="1:8" x14ac:dyDescent="0.25">
      <c r="A43">
        <f>COUNTIFS(B:B,B43)</f>
        <v>1</v>
      </c>
      <c r="B43" t="str">
        <f>C43&amp;" "&amp;D43</f>
        <v>Cale Tamagi</v>
      </c>
      <c r="C43" t="s">
        <v>145</v>
      </c>
      <c r="D43" t="s">
        <v>150</v>
      </c>
      <c r="E43" t="s">
        <v>151</v>
      </c>
      <c r="F43" t="s">
        <v>453</v>
      </c>
      <c r="G43" t="s">
        <v>145</v>
      </c>
      <c r="H43" t="s">
        <v>150</v>
      </c>
    </row>
    <row r="44" spans="1:8" x14ac:dyDescent="0.25">
      <c r="A44">
        <f>COUNTIFS(B:B,B44)</f>
        <v>1</v>
      </c>
      <c r="B44" t="s">
        <v>528</v>
      </c>
      <c r="C44" t="s">
        <v>529</v>
      </c>
      <c r="D44" t="s">
        <v>530</v>
      </c>
      <c r="F44" t="s">
        <v>528</v>
      </c>
      <c r="G44" t="s">
        <v>529</v>
      </c>
      <c r="H44" t="s">
        <v>530</v>
      </c>
    </row>
    <row r="45" spans="1:8" x14ac:dyDescent="0.25">
      <c r="A45">
        <f>COUNTIFS(B:B,B45)</f>
        <v>1</v>
      </c>
      <c r="B45" t="s">
        <v>531</v>
      </c>
      <c r="C45" t="s">
        <v>532</v>
      </c>
      <c r="D45" t="s">
        <v>533</v>
      </c>
      <c r="F45" t="s">
        <v>531</v>
      </c>
      <c r="G45" t="s">
        <v>532</v>
      </c>
      <c r="H45" t="s">
        <v>533</v>
      </c>
    </row>
    <row r="46" spans="1:8" x14ac:dyDescent="0.25">
      <c r="A46">
        <f>COUNTIFS(B:B,B46)</f>
        <v>1</v>
      </c>
      <c r="B46" t="s">
        <v>534</v>
      </c>
      <c r="C46" t="s">
        <v>413</v>
      </c>
      <c r="D46" t="s">
        <v>535</v>
      </c>
      <c r="F46" t="s">
        <v>534</v>
      </c>
      <c r="G46" t="s">
        <v>413</v>
      </c>
      <c r="H46" t="s">
        <v>535</v>
      </c>
    </row>
    <row r="47" spans="1:8" x14ac:dyDescent="0.25">
      <c r="A47">
        <f>COUNTIFS(B:B,B47)</f>
        <v>1</v>
      </c>
      <c r="B47" t="s">
        <v>536</v>
      </c>
      <c r="C47" t="s">
        <v>537</v>
      </c>
      <c r="D47" t="s">
        <v>538</v>
      </c>
      <c r="F47" t="s">
        <v>536</v>
      </c>
      <c r="G47" t="s">
        <v>537</v>
      </c>
      <c r="H47" t="s">
        <v>538</v>
      </c>
    </row>
    <row r="48" spans="1:8" x14ac:dyDescent="0.25">
      <c r="A48">
        <f>COUNTIFS(B:B,B48)</f>
        <v>1</v>
      </c>
      <c r="B48" t="s">
        <v>454</v>
      </c>
      <c r="C48" t="s">
        <v>455</v>
      </c>
      <c r="D48" t="s">
        <v>456</v>
      </c>
      <c r="F48" t="s">
        <v>454</v>
      </c>
      <c r="G48" t="s">
        <v>455</v>
      </c>
      <c r="H48" t="s">
        <v>456</v>
      </c>
    </row>
    <row r="49" spans="1:8" x14ac:dyDescent="0.25">
      <c r="A49">
        <f>COUNTIFS(B:B,B49)</f>
        <v>1</v>
      </c>
      <c r="B49" t="str">
        <f>C49&amp;" "&amp;D49</f>
        <v>Chris Harrison</v>
      </c>
      <c r="C49" t="s">
        <v>152</v>
      </c>
      <c r="D49" t="s">
        <v>153</v>
      </c>
      <c r="E49" t="s">
        <v>154</v>
      </c>
      <c r="F49" t="s">
        <v>539</v>
      </c>
      <c r="G49" t="s">
        <v>152</v>
      </c>
      <c r="H49" t="s">
        <v>153</v>
      </c>
    </row>
    <row r="50" spans="1:8" x14ac:dyDescent="0.25">
      <c r="A50">
        <f>COUNTIFS(B:B,B50)</f>
        <v>1</v>
      </c>
      <c r="B50" t="str">
        <f>C50&amp;" "&amp;D50</f>
        <v>Chris Potter</v>
      </c>
      <c r="C50" t="s">
        <v>152</v>
      </c>
      <c r="D50" t="s">
        <v>155</v>
      </c>
      <c r="E50" t="s">
        <v>156</v>
      </c>
      <c r="F50" t="s">
        <v>814</v>
      </c>
      <c r="G50" t="s">
        <v>152</v>
      </c>
      <c r="H50" t="s">
        <v>155</v>
      </c>
    </row>
    <row r="51" spans="1:8" x14ac:dyDescent="0.25">
      <c r="A51">
        <f>COUNTIFS(B:B,B51)</f>
        <v>1</v>
      </c>
      <c r="B51" t="str">
        <f>C51&amp;" "&amp;D51</f>
        <v>Christian Mckeen</v>
      </c>
      <c r="C51" t="s">
        <v>427</v>
      </c>
      <c r="D51" t="s">
        <v>428</v>
      </c>
      <c r="E51" t="s">
        <v>429</v>
      </c>
      <c r="F51" t="s">
        <v>815</v>
      </c>
      <c r="G51" t="s">
        <v>427</v>
      </c>
      <c r="H51" t="s">
        <v>428</v>
      </c>
    </row>
    <row r="52" spans="1:8" x14ac:dyDescent="0.25">
      <c r="A52">
        <f>COUNTIFS(B:B,B52)</f>
        <v>1</v>
      </c>
      <c r="B52" t="s">
        <v>540</v>
      </c>
      <c r="C52" t="s">
        <v>427</v>
      </c>
      <c r="D52" t="s">
        <v>343</v>
      </c>
      <c r="F52" t="s">
        <v>540</v>
      </c>
      <c r="G52" t="s">
        <v>427</v>
      </c>
      <c r="H52" t="s">
        <v>343</v>
      </c>
    </row>
    <row r="53" spans="1:8" x14ac:dyDescent="0.25">
      <c r="A53">
        <f>COUNTIFS(B:B,B53)</f>
        <v>1</v>
      </c>
      <c r="B53" t="s">
        <v>541</v>
      </c>
      <c r="C53" t="s">
        <v>542</v>
      </c>
      <c r="D53" t="s">
        <v>543</v>
      </c>
      <c r="F53" t="s">
        <v>541</v>
      </c>
      <c r="G53" t="s">
        <v>542</v>
      </c>
      <c r="H53" t="s">
        <v>543</v>
      </c>
    </row>
    <row r="54" spans="1:8" x14ac:dyDescent="0.25">
      <c r="A54">
        <f>COUNTIFS(B:B,B54)</f>
        <v>1</v>
      </c>
      <c r="B54" t="s">
        <v>544</v>
      </c>
      <c r="C54" t="s">
        <v>545</v>
      </c>
      <c r="D54" t="s">
        <v>456</v>
      </c>
      <c r="F54" t="s">
        <v>544</v>
      </c>
      <c r="G54" t="s">
        <v>545</v>
      </c>
      <c r="H54" t="s">
        <v>456</v>
      </c>
    </row>
    <row r="55" spans="1:8" x14ac:dyDescent="0.25">
      <c r="A55">
        <f>COUNTIFS(B:B,B55)</f>
        <v>1</v>
      </c>
      <c r="B55" t="s">
        <v>546</v>
      </c>
      <c r="C55" t="s">
        <v>430</v>
      </c>
      <c r="D55" t="s">
        <v>547</v>
      </c>
      <c r="F55" t="s">
        <v>546</v>
      </c>
      <c r="G55" t="s">
        <v>430</v>
      </c>
      <c r="H55" t="s">
        <v>547</v>
      </c>
    </row>
    <row r="56" spans="1:8" x14ac:dyDescent="0.25">
      <c r="A56">
        <f>COUNTIFS(B:B,B56)</f>
        <v>1</v>
      </c>
      <c r="B56" t="str">
        <f>C56&amp;" "&amp;D56</f>
        <v>Colton Arthurs</v>
      </c>
      <c r="C56" t="s">
        <v>430</v>
      </c>
      <c r="D56" t="s">
        <v>431</v>
      </c>
      <c r="E56" t="s">
        <v>432</v>
      </c>
      <c r="F56" t="s">
        <v>457</v>
      </c>
      <c r="G56" t="s">
        <v>430</v>
      </c>
      <c r="H56" t="s">
        <v>431</v>
      </c>
    </row>
    <row r="57" spans="1:8" x14ac:dyDescent="0.25">
      <c r="A57">
        <f>COUNTIFS(B:B,B57)</f>
        <v>1</v>
      </c>
      <c r="B57" t="str">
        <f>C57&amp;" "&amp;D57</f>
        <v>Craig Thatcher</v>
      </c>
      <c r="C57" t="s">
        <v>157</v>
      </c>
      <c r="D57" t="s">
        <v>158</v>
      </c>
      <c r="E57" t="s">
        <v>159</v>
      </c>
      <c r="F57" t="s">
        <v>816</v>
      </c>
      <c r="G57" t="s">
        <v>157</v>
      </c>
      <c r="H57" t="s">
        <v>158</v>
      </c>
    </row>
    <row r="58" spans="1:8" x14ac:dyDescent="0.25">
      <c r="A58">
        <f>COUNTIFS(B:B,B58)</f>
        <v>1</v>
      </c>
      <c r="B58" t="s">
        <v>548</v>
      </c>
      <c r="C58" t="s">
        <v>549</v>
      </c>
      <c r="D58" t="s">
        <v>550</v>
      </c>
      <c r="F58" t="s">
        <v>548</v>
      </c>
      <c r="G58" t="s">
        <v>549</v>
      </c>
      <c r="H58" t="s">
        <v>550</v>
      </c>
    </row>
    <row r="59" spans="1:8" x14ac:dyDescent="0.25">
      <c r="A59">
        <f>COUNTIFS(B:B,B59)</f>
        <v>1</v>
      </c>
      <c r="B59" t="s">
        <v>551</v>
      </c>
      <c r="C59" t="s">
        <v>549</v>
      </c>
      <c r="D59" t="s">
        <v>552</v>
      </c>
      <c r="F59" t="s">
        <v>551</v>
      </c>
      <c r="G59" t="s">
        <v>549</v>
      </c>
      <c r="H59" t="s">
        <v>552</v>
      </c>
    </row>
    <row r="60" spans="1:8" x14ac:dyDescent="0.25">
      <c r="A60">
        <f>COUNTIFS(B:B,B60)</f>
        <v>1</v>
      </c>
      <c r="B60" t="str">
        <f>C60&amp;" "&amp;D60</f>
        <v>Dan Meyers</v>
      </c>
      <c r="C60" t="s">
        <v>160</v>
      </c>
      <c r="D60" t="s">
        <v>161</v>
      </c>
      <c r="E60" t="s">
        <v>162</v>
      </c>
      <c r="F60" t="s">
        <v>553</v>
      </c>
      <c r="G60" t="s">
        <v>160</v>
      </c>
      <c r="H60" t="s">
        <v>161</v>
      </c>
    </row>
    <row r="61" spans="1:8" x14ac:dyDescent="0.25">
      <c r="A61">
        <f>COUNTIFS(B:B,B61)</f>
        <v>1</v>
      </c>
      <c r="B61" t="str">
        <f>C61&amp;" "&amp;D61</f>
        <v>Dan Swinden</v>
      </c>
      <c r="C61" t="s">
        <v>160</v>
      </c>
      <c r="D61" t="s">
        <v>433</v>
      </c>
      <c r="E61" t="s">
        <v>434</v>
      </c>
      <c r="F61" t="s">
        <v>458</v>
      </c>
      <c r="G61" t="s">
        <v>160</v>
      </c>
      <c r="H61" t="s">
        <v>433</v>
      </c>
    </row>
    <row r="62" spans="1:8" x14ac:dyDescent="0.25">
      <c r="A62">
        <f>COUNTIFS(B:B,B62)</f>
        <v>1</v>
      </c>
      <c r="B62" t="s">
        <v>459</v>
      </c>
      <c r="C62" t="s">
        <v>160</v>
      </c>
      <c r="D62" t="s">
        <v>460</v>
      </c>
      <c r="F62" t="s">
        <v>458</v>
      </c>
      <c r="G62" t="s">
        <v>160</v>
      </c>
      <c r="H62" t="s">
        <v>433</v>
      </c>
    </row>
    <row r="63" spans="1:8" x14ac:dyDescent="0.25">
      <c r="A63">
        <f>COUNTIFS(B:B,B63)</f>
        <v>1</v>
      </c>
      <c r="B63" t="s">
        <v>554</v>
      </c>
      <c r="C63" t="s">
        <v>555</v>
      </c>
      <c r="D63" t="s">
        <v>556</v>
      </c>
      <c r="F63" t="s">
        <v>554</v>
      </c>
      <c r="G63" t="s">
        <v>555</v>
      </c>
      <c r="H63" t="s">
        <v>556</v>
      </c>
    </row>
    <row r="64" spans="1:8" x14ac:dyDescent="0.25">
      <c r="A64">
        <f>COUNTIFS(B:B,B64)</f>
        <v>1</v>
      </c>
      <c r="B64" t="str">
        <f>C64&amp;" "&amp;D64</f>
        <v>Daniel Disipio</v>
      </c>
      <c r="C64" t="s">
        <v>163</v>
      </c>
      <c r="D64" t="s">
        <v>164</v>
      </c>
      <c r="E64" t="s">
        <v>165</v>
      </c>
      <c r="F64" t="s">
        <v>817</v>
      </c>
      <c r="G64" t="s">
        <v>163</v>
      </c>
      <c r="H64" t="s">
        <v>164</v>
      </c>
    </row>
    <row r="65" spans="1:8" x14ac:dyDescent="0.25">
      <c r="A65">
        <f>COUNTIFS(B:B,B65)</f>
        <v>1</v>
      </c>
      <c r="B65" t="str">
        <f>C65&amp;" "&amp;D65</f>
        <v>Darren Elliott</v>
      </c>
      <c r="C65" t="s">
        <v>166</v>
      </c>
      <c r="D65" t="s">
        <v>167</v>
      </c>
      <c r="E65" t="s">
        <v>168</v>
      </c>
      <c r="F65" t="s">
        <v>818</v>
      </c>
      <c r="G65" t="s">
        <v>166</v>
      </c>
      <c r="H65" t="s">
        <v>167</v>
      </c>
    </row>
    <row r="66" spans="1:8" x14ac:dyDescent="0.25">
      <c r="A66">
        <f>COUNTIFS(B:B,B66)</f>
        <v>1</v>
      </c>
      <c r="B66" t="s">
        <v>557</v>
      </c>
      <c r="C66" t="s">
        <v>376</v>
      </c>
      <c r="D66" t="s">
        <v>558</v>
      </c>
      <c r="F66" t="s">
        <v>557</v>
      </c>
      <c r="G66" t="s">
        <v>376</v>
      </c>
      <c r="H66" t="s">
        <v>558</v>
      </c>
    </row>
    <row r="67" spans="1:8" x14ac:dyDescent="0.25">
      <c r="A67">
        <f>COUNTIFS(B:B,B67)</f>
        <v>1</v>
      </c>
      <c r="B67" t="s">
        <v>559</v>
      </c>
      <c r="C67" t="s">
        <v>376</v>
      </c>
      <c r="D67" t="s">
        <v>560</v>
      </c>
      <c r="F67" t="s">
        <v>559</v>
      </c>
      <c r="G67" t="s">
        <v>376</v>
      </c>
      <c r="H67" t="s">
        <v>560</v>
      </c>
    </row>
    <row r="68" spans="1:8" x14ac:dyDescent="0.25">
      <c r="A68">
        <f>COUNTIFS(B:B,B68)</f>
        <v>1</v>
      </c>
      <c r="B68" t="s">
        <v>561</v>
      </c>
      <c r="C68" t="s">
        <v>562</v>
      </c>
      <c r="D68" t="s">
        <v>563</v>
      </c>
      <c r="F68" t="s">
        <v>561</v>
      </c>
      <c r="G68" t="s">
        <v>562</v>
      </c>
      <c r="H68" t="s">
        <v>563</v>
      </c>
    </row>
    <row r="69" spans="1:8" x14ac:dyDescent="0.25">
      <c r="A69">
        <f>COUNTIFS(B:B,B69)</f>
        <v>1</v>
      </c>
      <c r="B69" t="str">
        <f>C69&amp;" "&amp;D69</f>
        <v>Dayton Bryan</v>
      </c>
      <c r="C69" t="s">
        <v>169</v>
      </c>
      <c r="D69" t="s">
        <v>170</v>
      </c>
      <c r="E69" t="s">
        <v>171</v>
      </c>
      <c r="F69" t="s">
        <v>564</v>
      </c>
      <c r="G69" t="s">
        <v>169</v>
      </c>
      <c r="H69" t="s">
        <v>170</v>
      </c>
    </row>
    <row r="70" spans="1:8" x14ac:dyDescent="0.25">
      <c r="A70">
        <f>COUNTIFS(B:B,B70)</f>
        <v>1</v>
      </c>
      <c r="B70" t="s">
        <v>565</v>
      </c>
      <c r="C70" t="s">
        <v>566</v>
      </c>
      <c r="D70" t="s">
        <v>567</v>
      </c>
      <c r="F70" t="s">
        <v>565</v>
      </c>
      <c r="G70" t="s">
        <v>566</v>
      </c>
      <c r="H70" t="s">
        <v>567</v>
      </c>
    </row>
    <row r="71" spans="1:8" x14ac:dyDescent="0.25">
      <c r="A71">
        <f>COUNTIFS(B:B,B71)</f>
        <v>1</v>
      </c>
      <c r="B71" t="str">
        <f>C71&amp;" "&amp;D71</f>
        <v>Dongyeon Kim</v>
      </c>
      <c r="C71" t="s">
        <v>172</v>
      </c>
      <c r="D71" t="s">
        <v>173</v>
      </c>
      <c r="E71" t="s">
        <v>174</v>
      </c>
      <c r="F71" t="s">
        <v>819</v>
      </c>
      <c r="G71" t="s">
        <v>172</v>
      </c>
      <c r="H71" t="s">
        <v>173</v>
      </c>
    </row>
    <row r="72" spans="1:8" x14ac:dyDescent="0.25">
      <c r="A72">
        <f>COUNTIFS(B:B,B72)</f>
        <v>1</v>
      </c>
      <c r="B72" t="s">
        <v>568</v>
      </c>
      <c r="C72" t="s">
        <v>569</v>
      </c>
      <c r="D72" t="s">
        <v>511</v>
      </c>
      <c r="F72" t="s">
        <v>568</v>
      </c>
      <c r="G72" t="s">
        <v>569</v>
      </c>
      <c r="H72" t="s">
        <v>511</v>
      </c>
    </row>
    <row r="73" spans="1:8" x14ac:dyDescent="0.25">
      <c r="A73">
        <f>COUNTIFS(B:B,B73)</f>
        <v>1</v>
      </c>
      <c r="B73" t="str">
        <f>C73&amp;" "&amp;D73</f>
        <v>Doug Inglis</v>
      </c>
      <c r="C73" t="s">
        <v>175</v>
      </c>
      <c r="D73" t="s">
        <v>176</v>
      </c>
      <c r="E73" t="s">
        <v>177</v>
      </c>
      <c r="F73" t="s">
        <v>570</v>
      </c>
      <c r="G73" t="s">
        <v>175</v>
      </c>
      <c r="H73" t="s">
        <v>176</v>
      </c>
    </row>
    <row r="74" spans="1:8" x14ac:dyDescent="0.25">
      <c r="A74">
        <f>COUNTIFS(B:B,B74)</f>
        <v>1</v>
      </c>
      <c r="B74" t="str">
        <f>C74&amp;" "&amp;D74</f>
        <v>Douglas Coutts</v>
      </c>
      <c r="C74" t="s">
        <v>178</v>
      </c>
      <c r="D74" t="s">
        <v>179</v>
      </c>
      <c r="E74" t="s">
        <v>180</v>
      </c>
      <c r="F74" t="s">
        <v>820</v>
      </c>
      <c r="G74" t="s">
        <v>178</v>
      </c>
      <c r="H74" t="s">
        <v>179</v>
      </c>
    </row>
    <row r="75" spans="1:8" x14ac:dyDescent="0.25">
      <c r="A75">
        <f>COUNTIFS(B:B,B75)</f>
        <v>1</v>
      </c>
      <c r="B75" t="s">
        <v>571</v>
      </c>
      <c r="C75" t="s">
        <v>572</v>
      </c>
      <c r="D75" t="s">
        <v>573</v>
      </c>
      <c r="F75" t="s">
        <v>571</v>
      </c>
      <c r="G75" t="s">
        <v>572</v>
      </c>
      <c r="H75" t="s">
        <v>573</v>
      </c>
    </row>
    <row r="76" spans="1:8" x14ac:dyDescent="0.25">
      <c r="A76">
        <f>COUNTIFS(B:B,B76)</f>
        <v>1</v>
      </c>
      <c r="B76" t="str">
        <f>C76&amp;" "&amp;D76</f>
        <v>Eric Palo</v>
      </c>
      <c r="C76" t="s">
        <v>181</v>
      </c>
      <c r="D76" t="s">
        <v>182</v>
      </c>
      <c r="E76" t="s">
        <v>183</v>
      </c>
      <c r="F76" t="s">
        <v>574</v>
      </c>
      <c r="G76" t="s">
        <v>181</v>
      </c>
      <c r="H76" t="s">
        <v>182</v>
      </c>
    </row>
    <row r="77" spans="1:8" x14ac:dyDescent="0.25">
      <c r="A77">
        <f>COUNTIFS(B:B,B77)</f>
        <v>1</v>
      </c>
      <c r="B77" t="str">
        <f>C77&amp;" "&amp;D77</f>
        <v>Ernesto Astete</v>
      </c>
      <c r="C77" t="s">
        <v>184</v>
      </c>
      <c r="D77" t="s">
        <v>185</v>
      </c>
      <c r="E77" t="s">
        <v>186</v>
      </c>
      <c r="F77" t="s">
        <v>575</v>
      </c>
      <c r="G77" t="s">
        <v>184</v>
      </c>
      <c r="H77" t="s">
        <v>185</v>
      </c>
    </row>
    <row r="78" spans="1:8" x14ac:dyDescent="0.25">
      <c r="A78">
        <f>COUNTIFS(B:B,B78)</f>
        <v>1</v>
      </c>
      <c r="B78" t="str">
        <f>C78&amp;" "&amp;D78</f>
        <v>Ethan Coates</v>
      </c>
      <c r="C78" t="s">
        <v>187</v>
      </c>
      <c r="D78" t="s">
        <v>188</v>
      </c>
      <c r="E78" t="s">
        <v>189</v>
      </c>
      <c r="F78" t="s">
        <v>576</v>
      </c>
      <c r="G78" t="s">
        <v>187</v>
      </c>
      <c r="H78" t="s">
        <v>188</v>
      </c>
    </row>
    <row r="79" spans="1:8" x14ac:dyDescent="0.25">
      <c r="A79">
        <f>COUNTIFS(B:B,B79)</f>
        <v>1</v>
      </c>
      <c r="B79" t="s">
        <v>577</v>
      </c>
      <c r="C79" t="s">
        <v>187</v>
      </c>
      <c r="D79" t="s">
        <v>578</v>
      </c>
      <c r="F79" t="s">
        <v>577</v>
      </c>
      <c r="G79" t="s">
        <v>187</v>
      </c>
      <c r="H79" t="s">
        <v>578</v>
      </c>
    </row>
    <row r="80" spans="1:8" x14ac:dyDescent="0.25">
      <c r="A80">
        <f>COUNTIFS(B:B,B80)</f>
        <v>1</v>
      </c>
      <c r="B80" t="s">
        <v>579</v>
      </c>
      <c r="C80" t="s">
        <v>580</v>
      </c>
      <c r="D80" t="s">
        <v>199</v>
      </c>
      <c r="F80" t="s">
        <v>579</v>
      </c>
      <c r="G80" t="s">
        <v>580</v>
      </c>
      <c r="H80" t="s">
        <v>199</v>
      </c>
    </row>
    <row r="81" spans="1:8" x14ac:dyDescent="0.25">
      <c r="A81">
        <f>COUNTIFS(B:B,B81)</f>
        <v>1</v>
      </c>
      <c r="B81" t="s">
        <v>581</v>
      </c>
      <c r="C81" t="s">
        <v>582</v>
      </c>
      <c r="D81" t="s">
        <v>583</v>
      </c>
      <c r="F81" t="s">
        <v>581</v>
      </c>
      <c r="G81" t="s">
        <v>582</v>
      </c>
      <c r="H81" t="s">
        <v>583</v>
      </c>
    </row>
    <row r="82" spans="1:8" x14ac:dyDescent="0.25">
      <c r="A82">
        <f>COUNTIFS(B:B,B82)</f>
        <v>1</v>
      </c>
      <c r="B82" t="s">
        <v>584</v>
      </c>
      <c r="C82" t="s">
        <v>585</v>
      </c>
      <c r="D82" t="s">
        <v>586</v>
      </c>
      <c r="F82" t="s">
        <v>584</v>
      </c>
      <c r="G82" t="s">
        <v>585</v>
      </c>
      <c r="H82" t="s">
        <v>586</v>
      </c>
    </row>
    <row r="83" spans="1:8" x14ac:dyDescent="0.25">
      <c r="A83">
        <f>COUNTIFS(B:B,B83)</f>
        <v>1</v>
      </c>
      <c r="B83" t="s">
        <v>587</v>
      </c>
      <c r="C83" t="s">
        <v>588</v>
      </c>
      <c r="D83" t="s">
        <v>589</v>
      </c>
      <c r="F83" t="s">
        <v>587</v>
      </c>
      <c r="G83" t="s">
        <v>588</v>
      </c>
      <c r="H83" t="s">
        <v>589</v>
      </c>
    </row>
    <row r="84" spans="1:8" x14ac:dyDescent="0.25">
      <c r="A84">
        <f>COUNTIFS(B:B,B84)</f>
        <v>1</v>
      </c>
      <c r="B84" t="str">
        <f>C84&amp;" "&amp;D84</f>
        <v>Gabriel Gheron</v>
      </c>
      <c r="C84" t="s">
        <v>190</v>
      </c>
      <c r="D84" t="s">
        <v>191</v>
      </c>
      <c r="E84" t="s">
        <v>192</v>
      </c>
      <c r="F84" t="s">
        <v>590</v>
      </c>
      <c r="G84" t="s">
        <v>190</v>
      </c>
      <c r="H84" t="s">
        <v>191</v>
      </c>
    </row>
    <row r="85" spans="1:8" x14ac:dyDescent="0.25">
      <c r="A85">
        <f>COUNTIFS(B:B,B85)</f>
        <v>1</v>
      </c>
      <c r="B85" t="str">
        <f>C85&amp;" "&amp;D85</f>
        <v>Gabriel Paradis</v>
      </c>
      <c r="C85" t="s">
        <v>190</v>
      </c>
      <c r="D85" t="s">
        <v>193</v>
      </c>
      <c r="E85" t="s">
        <v>194</v>
      </c>
      <c r="F85" t="s">
        <v>591</v>
      </c>
      <c r="G85" t="s">
        <v>190</v>
      </c>
      <c r="H85" t="s">
        <v>193</v>
      </c>
    </row>
    <row r="86" spans="1:8" x14ac:dyDescent="0.25">
      <c r="A86">
        <f>COUNTIFS(B:B,B86)</f>
        <v>1</v>
      </c>
      <c r="B86" t="str">
        <f>C86&amp;" "&amp;D86</f>
        <v>Garrett Norman</v>
      </c>
      <c r="C86" t="s">
        <v>195</v>
      </c>
      <c r="D86" t="s">
        <v>196</v>
      </c>
      <c r="E86" t="s">
        <v>197</v>
      </c>
      <c r="F86" t="s">
        <v>821</v>
      </c>
      <c r="G86" t="s">
        <v>195</v>
      </c>
      <c r="H86" t="s">
        <v>196</v>
      </c>
    </row>
    <row r="87" spans="1:8" x14ac:dyDescent="0.25">
      <c r="A87">
        <f>COUNTIFS(B:B,B87)</f>
        <v>1</v>
      </c>
      <c r="B87" t="str">
        <f>C87&amp;" "&amp;D87</f>
        <v>George Ferguson</v>
      </c>
      <c r="C87" t="s">
        <v>198</v>
      </c>
      <c r="D87" t="s">
        <v>199</v>
      </c>
      <c r="E87" t="s">
        <v>200</v>
      </c>
      <c r="F87" t="s">
        <v>592</v>
      </c>
      <c r="G87" t="s">
        <v>198</v>
      </c>
      <c r="H87" t="s">
        <v>199</v>
      </c>
    </row>
    <row r="88" spans="1:8" x14ac:dyDescent="0.25">
      <c r="A88">
        <f>COUNTIFS(B:B,B88)</f>
        <v>1</v>
      </c>
      <c r="B88" t="s">
        <v>593</v>
      </c>
      <c r="C88" t="s">
        <v>198</v>
      </c>
      <c r="D88" t="s">
        <v>594</v>
      </c>
      <c r="F88" t="s">
        <v>592</v>
      </c>
      <c r="G88" t="s">
        <v>198</v>
      </c>
      <c r="H88" t="s">
        <v>199</v>
      </c>
    </row>
    <row r="89" spans="1:8" x14ac:dyDescent="0.25">
      <c r="A89">
        <f>COUNTIFS(B:B,B89)</f>
        <v>1</v>
      </c>
      <c r="B89" t="s">
        <v>595</v>
      </c>
      <c r="C89" t="s">
        <v>198</v>
      </c>
      <c r="D89" t="s">
        <v>596</v>
      </c>
      <c r="F89" t="s">
        <v>592</v>
      </c>
      <c r="G89" t="s">
        <v>198</v>
      </c>
      <c r="H89" t="s">
        <v>199</v>
      </c>
    </row>
    <row r="90" spans="1:8" x14ac:dyDescent="0.25">
      <c r="A90">
        <f>COUNTIFS(B:B,B90)</f>
        <v>1</v>
      </c>
      <c r="B90" t="str">
        <f>C90&amp;" "&amp;D90</f>
        <v>Giorgio Aurigemma</v>
      </c>
      <c r="C90" t="s">
        <v>201</v>
      </c>
      <c r="D90" t="s">
        <v>202</v>
      </c>
      <c r="E90" t="s">
        <v>203</v>
      </c>
      <c r="F90" t="s">
        <v>597</v>
      </c>
      <c r="G90" t="s">
        <v>201</v>
      </c>
      <c r="H90" t="s">
        <v>202</v>
      </c>
    </row>
    <row r="91" spans="1:8" x14ac:dyDescent="0.25">
      <c r="A91">
        <f>COUNTIFS(B:B,B91)</f>
        <v>1</v>
      </c>
      <c r="B91" t="str">
        <f>C91&amp;" "&amp;D91</f>
        <v>Grayden McDonald</v>
      </c>
      <c r="C91" t="s">
        <v>204</v>
      </c>
      <c r="D91" t="s">
        <v>205</v>
      </c>
      <c r="E91" t="s">
        <v>206</v>
      </c>
      <c r="F91" t="s">
        <v>822</v>
      </c>
      <c r="G91" t="s">
        <v>204</v>
      </c>
      <c r="H91" t="s">
        <v>205</v>
      </c>
    </row>
    <row r="92" spans="1:8" x14ac:dyDescent="0.25">
      <c r="A92">
        <f>COUNTIFS(B:B,B92)</f>
        <v>1</v>
      </c>
      <c r="B92" t="s">
        <v>598</v>
      </c>
      <c r="C92" t="s">
        <v>599</v>
      </c>
      <c r="D92" t="s">
        <v>600</v>
      </c>
      <c r="F92" t="s">
        <v>598</v>
      </c>
      <c r="G92" t="s">
        <v>599</v>
      </c>
      <c r="H92" t="s">
        <v>600</v>
      </c>
    </row>
    <row r="93" spans="1:8" x14ac:dyDescent="0.25">
      <c r="A93">
        <f>COUNTIFS(B:B,B93)</f>
        <v>1</v>
      </c>
      <c r="B93" t="s">
        <v>601</v>
      </c>
      <c r="C93" t="s">
        <v>602</v>
      </c>
      <c r="D93" t="s">
        <v>603</v>
      </c>
      <c r="F93" t="s">
        <v>601</v>
      </c>
      <c r="G93" t="s">
        <v>602</v>
      </c>
      <c r="H93" t="s">
        <v>603</v>
      </c>
    </row>
    <row r="94" spans="1:8" x14ac:dyDescent="0.25">
      <c r="A94">
        <f>COUNTIFS(B:B,B94)</f>
        <v>1</v>
      </c>
      <c r="B94" t="s">
        <v>604</v>
      </c>
      <c r="C94" t="s">
        <v>605</v>
      </c>
      <c r="D94" t="s">
        <v>511</v>
      </c>
      <c r="F94" t="s">
        <v>604</v>
      </c>
      <c r="G94" t="s">
        <v>605</v>
      </c>
      <c r="H94" t="s">
        <v>511</v>
      </c>
    </row>
    <row r="95" spans="1:8" x14ac:dyDescent="0.25">
      <c r="A95">
        <f>COUNTIFS(B:B,B95)</f>
        <v>1</v>
      </c>
      <c r="B95" t="s">
        <v>606</v>
      </c>
      <c r="C95" t="s">
        <v>607</v>
      </c>
      <c r="D95" t="s">
        <v>608</v>
      </c>
      <c r="F95" t="s">
        <v>606</v>
      </c>
      <c r="G95" t="s">
        <v>607</v>
      </c>
      <c r="H95" t="s">
        <v>608</v>
      </c>
    </row>
    <row r="96" spans="1:8" x14ac:dyDescent="0.25">
      <c r="A96">
        <f>COUNTIFS(B:B,B96)</f>
        <v>1</v>
      </c>
      <c r="B96" t="s">
        <v>609</v>
      </c>
      <c r="C96" t="s">
        <v>610</v>
      </c>
      <c r="D96" t="s">
        <v>611</v>
      </c>
      <c r="F96" t="s">
        <v>609</v>
      </c>
      <c r="G96" t="s">
        <v>610</v>
      </c>
      <c r="H96" t="s">
        <v>611</v>
      </c>
    </row>
    <row r="97" spans="1:8" x14ac:dyDescent="0.25">
      <c r="A97">
        <f>COUNTIFS(B:B,B97)</f>
        <v>1</v>
      </c>
      <c r="B97" t="s">
        <v>612</v>
      </c>
      <c r="C97" t="s">
        <v>613</v>
      </c>
      <c r="D97" t="s">
        <v>614</v>
      </c>
      <c r="F97" t="s">
        <v>612</v>
      </c>
      <c r="G97" t="s">
        <v>613</v>
      </c>
      <c r="H97" t="s">
        <v>614</v>
      </c>
    </row>
    <row r="98" spans="1:8" x14ac:dyDescent="0.25">
      <c r="A98">
        <f>COUNTIFS(B:B,B98)</f>
        <v>1</v>
      </c>
      <c r="B98" t="s">
        <v>615</v>
      </c>
      <c r="C98" t="s">
        <v>613</v>
      </c>
      <c r="D98" t="s">
        <v>616</v>
      </c>
      <c r="F98" t="s">
        <v>615</v>
      </c>
      <c r="G98" t="s">
        <v>613</v>
      </c>
      <c r="H98" t="s">
        <v>616</v>
      </c>
    </row>
    <row r="99" spans="1:8" x14ac:dyDescent="0.25">
      <c r="A99">
        <f>COUNTIFS(B:B,B99)</f>
        <v>1</v>
      </c>
      <c r="B99" t="s">
        <v>619</v>
      </c>
      <c r="C99" t="s">
        <v>210</v>
      </c>
      <c r="D99" t="s">
        <v>620</v>
      </c>
      <c r="F99" t="s">
        <v>619</v>
      </c>
      <c r="G99" t="s">
        <v>210</v>
      </c>
      <c r="H99" t="s">
        <v>620</v>
      </c>
    </row>
    <row r="100" spans="1:8" x14ac:dyDescent="0.25">
      <c r="A100">
        <f>COUNTIFS(B:B,B100)</f>
        <v>1</v>
      </c>
      <c r="B100" t="s">
        <v>621</v>
      </c>
      <c r="C100" t="s">
        <v>210</v>
      </c>
      <c r="D100" t="s">
        <v>622</v>
      </c>
      <c r="F100" t="s">
        <v>621</v>
      </c>
      <c r="G100" t="s">
        <v>210</v>
      </c>
      <c r="H100" t="s">
        <v>622</v>
      </c>
    </row>
    <row r="101" spans="1:8" x14ac:dyDescent="0.25">
      <c r="A101">
        <f>COUNTIFS(B:B,B101)</f>
        <v>1</v>
      </c>
      <c r="B101" t="s">
        <v>617</v>
      </c>
      <c r="C101" t="s">
        <v>618</v>
      </c>
      <c r="D101" t="s">
        <v>211</v>
      </c>
      <c r="F101" t="s">
        <v>623</v>
      </c>
      <c r="G101" t="s">
        <v>210</v>
      </c>
      <c r="H101" t="s">
        <v>211</v>
      </c>
    </row>
    <row r="102" spans="1:8" x14ac:dyDescent="0.25">
      <c r="A102">
        <f>COUNTIFS(B:B,B102)</f>
        <v>1</v>
      </c>
      <c r="B102" t="str">
        <f>C102&amp;" "&amp;D102</f>
        <v>James Mcgregor</v>
      </c>
      <c r="C102" t="s">
        <v>210</v>
      </c>
      <c r="D102" t="s">
        <v>211</v>
      </c>
      <c r="E102" t="s">
        <v>212</v>
      </c>
      <c r="F102" t="s">
        <v>623</v>
      </c>
      <c r="G102" t="s">
        <v>210</v>
      </c>
      <c r="H102" t="s">
        <v>211</v>
      </c>
    </row>
    <row r="103" spans="1:8" x14ac:dyDescent="0.25">
      <c r="A103">
        <f>COUNTIFS(B:B,B103)</f>
        <v>1</v>
      </c>
      <c r="B103" t="str">
        <f>C103&amp;" "&amp;D103</f>
        <v>James Miranda</v>
      </c>
      <c r="C103" t="s">
        <v>210</v>
      </c>
      <c r="D103" t="s">
        <v>213</v>
      </c>
      <c r="E103" t="s">
        <v>214</v>
      </c>
      <c r="F103" t="s">
        <v>624</v>
      </c>
      <c r="G103" t="s">
        <v>210</v>
      </c>
      <c r="H103" t="s">
        <v>213</v>
      </c>
    </row>
    <row r="104" spans="1:8" x14ac:dyDescent="0.25">
      <c r="A104">
        <f>COUNTIFS(B:B,B104)</f>
        <v>1</v>
      </c>
      <c r="B104" t="str">
        <f>C104&amp;" "&amp;D104</f>
        <v>James Nation</v>
      </c>
      <c r="C104" t="s">
        <v>210</v>
      </c>
      <c r="D104" t="s">
        <v>215</v>
      </c>
      <c r="E104" t="s">
        <v>216</v>
      </c>
      <c r="F104" t="s">
        <v>625</v>
      </c>
      <c r="G104" t="s">
        <v>210</v>
      </c>
      <c r="H104" t="s">
        <v>215</v>
      </c>
    </row>
    <row r="105" spans="1:8" x14ac:dyDescent="0.25">
      <c r="A105">
        <f>COUNTIFS(B:B,B105)</f>
        <v>1</v>
      </c>
      <c r="B105" t="str">
        <f>C105&amp;" "&amp;D105</f>
        <v>Jameson Mcintosh</v>
      </c>
      <c r="C105" t="s">
        <v>217</v>
      </c>
      <c r="D105" t="s">
        <v>218</v>
      </c>
      <c r="E105" t="s">
        <v>219</v>
      </c>
      <c r="F105" t="s">
        <v>823</v>
      </c>
      <c r="G105" t="s">
        <v>217</v>
      </c>
      <c r="H105" t="s">
        <v>218</v>
      </c>
    </row>
    <row r="106" spans="1:8" x14ac:dyDescent="0.25">
      <c r="A106">
        <f>COUNTIFS(B:B,B106)</f>
        <v>1</v>
      </c>
      <c r="B106" t="str">
        <f>C106&amp;" "&amp;D106</f>
        <v>Jamie Miranda</v>
      </c>
      <c r="C106" t="s">
        <v>220</v>
      </c>
      <c r="D106" t="s">
        <v>213</v>
      </c>
      <c r="E106" t="s">
        <v>221</v>
      </c>
      <c r="F106" t="s">
        <v>824</v>
      </c>
      <c r="G106" t="s">
        <v>220</v>
      </c>
      <c r="H106" t="s">
        <v>213</v>
      </c>
    </row>
    <row r="107" spans="1:8" x14ac:dyDescent="0.25">
      <c r="A107">
        <f>COUNTIFS(B:B,B107)</f>
        <v>1</v>
      </c>
      <c r="B107" t="s">
        <v>626</v>
      </c>
      <c r="C107" t="s">
        <v>627</v>
      </c>
      <c r="D107" t="s">
        <v>628</v>
      </c>
      <c r="F107" t="s">
        <v>626</v>
      </c>
      <c r="G107" t="s">
        <v>627</v>
      </c>
      <c r="H107" t="s">
        <v>628</v>
      </c>
    </row>
    <row r="108" spans="1:8" x14ac:dyDescent="0.25">
      <c r="A108">
        <f>COUNTIFS(B:B,B108)</f>
        <v>1</v>
      </c>
      <c r="B108" t="str">
        <f>C108&amp;" "&amp;D108</f>
        <v>Javier Sarmiento</v>
      </c>
      <c r="C108" t="s">
        <v>435</v>
      </c>
      <c r="D108" t="s">
        <v>436</v>
      </c>
      <c r="E108" t="s">
        <v>437</v>
      </c>
      <c r="F108" t="s">
        <v>825</v>
      </c>
      <c r="G108" t="s">
        <v>435</v>
      </c>
      <c r="H108" t="s">
        <v>436</v>
      </c>
    </row>
    <row r="109" spans="1:8" x14ac:dyDescent="0.25">
      <c r="A109">
        <f>COUNTIFS(B:B,B109)</f>
        <v>1</v>
      </c>
      <c r="B109" t="str">
        <f>C109&amp;" "&amp;D109</f>
        <v>Jeff Dudder</v>
      </c>
      <c r="C109" t="s">
        <v>222</v>
      </c>
      <c r="D109" t="s">
        <v>223</v>
      </c>
      <c r="E109" t="s">
        <v>224</v>
      </c>
      <c r="F109" t="s">
        <v>461</v>
      </c>
      <c r="G109" t="s">
        <v>222</v>
      </c>
      <c r="H109" t="s">
        <v>223</v>
      </c>
    </row>
    <row r="110" spans="1:8" x14ac:dyDescent="0.25">
      <c r="A110">
        <f>COUNTIFS(B:B,B110)</f>
        <v>1</v>
      </c>
      <c r="B110" t="str">
        <f>C110&amp;" "&amp;D110</f>
        <v>Jeffrey Gardner</v>
      </c>
      <c r="C110" t="s">
        <v>225</v>
      </c>
      <c r="D110" t="s">
        <v>226</v>
      </c>
      <c r="E110" t="s">
        <v>227</v>
      </c>
      <c r="F110" t="s">
        <v>826</v>
      </c>
      <c r="G110" t="s">
        <v>225</v>
      </c>
      <c r="H110" t="s">
        <v>226</v>
      </c>
    </row>
    <row r="111" spans="1:8" x14ac:dyDescent="0.25">
      <c r="A111">
        <f>COUNTIFS(B:B,B111)</f>
        <v>1</v>
      </c>
      <c r="B111" t="str">
        <f>C111&amp;" "&amp;D111</f>
        <v>Jim Fairbairn</v>
      </c>
      <c r="C111" t="s">
        <v>228</v>
      </c>
      <c r="D111" t="s">
        <v>229</v>
      </c>
      <c r="E111" t="s">
        <v>230</v>
      </c>
      <c r="F111" t="s">
        <v>827</v>
      </c>
      <c r="G111" t="s">
        <v>228</v>
      </c>
      <c r="H111" t="s">
        <v>229</v>
      </c>
    </row>
    <row r="112" spans="1:8" x14ac:dyDescent="0.25">
      <c r="A112">
        <f>COUNTIFS(B:B,B112)</f>
        <v>1</v>
      </c>
      <c r="B112" t="str">
        <f>C112&amp;" "&amp;D112</f>
        <v>John Barker</v>
      </c>
      <c r="C112" t="s">
        <v>231</v>
      </c>
      <c r="D112" t="s">
        <v>232</v>
      </c>
      <c r="E112" t="s">
        <v>233</v>
      </c>
      <c r="F112" t="s">
        <v>828</v>
      </c>
      <c r="G112" t="s">
        <v>231</v>
      </c>
      <c r="H112" t="s">
        <v>232</v>
      </c>
    </row>
    <row r="113" spans="1:8" x14ac:dyDescent="0.25">
      <c r="A113">
        <f>COUNTIFS(B:B,B113)</f>
        <v>1</v>
      </c>
      <c r="B113" t="s">
        <v>629</v>
      </c>
      <c r="C113" t="s">
        <v>231</v>
      </c>
      <c r="D113" t="s">
        <v>630</v>
      </c>
      <c r="F113" t="s">
        <v>631</v>
      </c>
      <c r="G113" t="s">
        <v>234</v>
      </c>
      <c r="H113" t="s">
        <v>235</v>
      </c>
    </row>
    <row r="114" spans="1:8" x14ac:dyDescent="0.25">
      <c r="A114">
        <f>COUNTIFS(B:B,B114)</f>
        <v>1</v>
      </c>
      <c r="B114" t="str">
        <f>C114&amp;" "&amp;D114</f>
        <v>Jorin Cheema</v>
      </c>
      <c r="C114" t="s">
        <v>234</v>
      </c>
      <c r="D114" t="s">
        <v>235</v>
      </c>
      <c r="E114" t="s">
        <v>236</v>
      </c>
      <c r="F114" t="s">
        <v>631</v>
      </c>
      <c r="G114" t="s">
        <v>234</v>
      </c>
      <c r="H114" t="s">
        <v>235</v>
      </c>
    </row>
    <row r="115" spans="1:8" x14ac:dyDescent="0.25">
      <c r="A115">
        <f>COUNTIFS(B:B,B115)</f>
        <v>1</v>
      </c>
      <c r="B115" t="str">
        <f>C115&amp;" "&amp;D115</f>
        <v>Joseph Greco</v>
      </c>
      <c r="C115" t="s">
        <v>237</v>
      </c>
      <c r="D115" t="s">
        <v>238</v>
      </c>
      <c r="E115" t="s">
        <v>239</v>
      </c>
      <c r="F115" t="s">
        <v>632</v>
      </c>
      <c r="G115" t="s">
        <v>237</v>
      </c>
      <c r="H115" t="s">
        <v>238</v>
      </c>
    </row>
    <row r="116" spans="1:8" x14ac:dyDescent="0.25">
      <c r="A116">
        <f>COUNTIFS(B:B,B116)</f>
        <v>1</v>
      </c>
      <c r="B116" t="str">
        <f>C116&amp;" "&amp;D116</f>
        <v>Joseph Wiwchar</v>
      </c>
      <c r="C116" t="s">
        <v>237</v>
      </c>
      <c r="D116" t="s">
        <v>438</v>
      </c>
      <c r="E116" t="s">
        <v>439</v>
      </c>
      <c r="F116" t="s">
        <v>829</v>
      </c>
      <c r="G116" t="s">
        <v>237</v>
      </c>
      <c r="H116" t="s">
        <v>438</v>
      </c>
    </row>
    <row r="117" spans="1:8" x14ac:dyDescent="0.25">
      <c r="A117">
        <f>COUNTIFS(B:B,B117)</f>
        <v>1</v>
      </c>
      <c r="B117" t="s">
        <v>633</v>
      </c>
      <c r="C117" t="s">
        <v>240</v>
      </c>
      <c r="D117" t="s">
        <v>634</v>
      </c>
      <c r="F117" t="s">
        <v>633</v>
      </c>
      <c r="G117" t="s">
        <v>240</v>
      </c>
      <c r="H117" t="s">
        <v>634</v>
      </c>
    </row>
    <row r="118" spans="1:8" x14ac:dyDescent="0.25">
      <c r="A118">
        <f>COUNTIFS(B:B,B118)</f>
        <v>1</v>
      </c>
      <c r="B118" t="str">
        <f>C118&amp;" "&amp;D118</f>
        <v>Josh Pender</v>
      </c>
      <c r="C118" t="s">
        <v>240</v>
      </c>
      <c r="D118" t="s">
        <v>241</v>
      </c>
      <c r="E118" t="s">
        <v>242</v>
      </c>
      <c r="F118" t="s">
        <v>635</v>
      </c>
      <c r="G118" t="s">
        <v>240</v>
      </c>
      <c r="H118" t="s">
        <v>241</v>
      </c>
    </row>
    <row r="119" spans="1:8" x14ac:dyDescent="0.25">
      <c r="A119">
        <f>COUNTIFS(B:B,B119)</f>
        <v>1</v>
      </c>
      <c r="B119" t="str">
        <f>C119&amp;" "&amp;D119</f>
        <v>Justin McCarthy</v>
      </c>
      <c r="C119" t="s">
        <v>243</v>
      </c>
      <c r="D119" t="s">
        <v>244</v>
      </c>
      <c r="E119" t="s">
        <v>245</v>
      </c>
      <c r="F119" t="s">
        <v>636</v>
      </c>
      <c r="G119" t="s">
        <v>243</v>
      </c>
      <c r="H119" t="s">
        <v>244</v>
      </c>
    </row>
    <row r="120" spans="1:8" x14ac:dyDescent="0.25">
      <c r="A120">
        <f>COUNTIFS(B:B,B120)</f>
        <v>1</v>
      </c>
      <c r="B120" t="s">
        <v>637</v>
      </c>
      <c r="C120" t="s">
        <v>243</v>
      </c>
      <c r="D120" t="s">
        <v>638</v>
      </c>
      <c r="F120" t="s">
        <v>636</v>
      </c>
      <c r="G120" t="s">
        <v>243</v>
      </c>
      <c r="H120" t="s">
        <v>244</v>
      </c>
    </row>
    <row r="121" spans="1:8" x14ac:dyDescent="0.25">
      <c r="A121">
        <f>COUNTIFS(B:B,B121)</f>
        <v>1</v>
      </c>
      <c r="B121" t="s">
        <v>639</v>
      </c>
      <c r="C121" t="s">
        <v>640</v>
      </c>
      <c r="D121" t="s">
        <v>641</v>
      </c>
      <c r="F121" t="s">
        <v>639</v>
      </c>
      <c r="G121" t="s">
        <v>640</v>
      </c>
      <c r="H121" t="s">
        <v>641</v>
      </c>
    </row>
    <row r="122" spans="1:8" x14ac:dyDescent="0.25">
      <c r="A122">
        <f>COUNTIFS(B:B,B122)</f>
        <v>1</v>
      </c>
      <c r="B122" t="str">
        <f>C122&amp;" "&amp;D122</f>
        <v>Kent Szoke</v>
      </c>
      <c r="C122" t="s">
        <v>246</v>
      </c>
      <c r="D122" t="s">
        <v>247</v>
      </c>
      <c r="E122" t="s">
        <v>248</v>
      </c>
      <c r="F122" t="s">
        <v>830</v>
      </c>
      <c r="G122" t="s">
        <v>246</v>
      </c>
      <c r="H122" t="s">
        <v>247</v>
      </c>
    </row>
    <row r="123" spans="1:8" x14ac:dyDescent="0.25">
      <c r="A123">
        <f>COUNTIFS(B:B,B123)</f>
        <v>1</v>
      </c>
      <c r="B123" t="s">
        <v>642</v>
      </c>
      <c r="C123" t="s">
        <v>643</v>
      </c>
      <c r="D123" t="s">
        <v>644</v>
      </c>
      <c r="F123" t="s">
        <v>642</v>
      </c>
      <c r="G123" t="s">
        <v>643</v>
      </c>
      <c r="H123" t="s">
        <v>644</v>
      </c>
    </row>
    <row r="124" spans="1:8" x14ac:dyDescent="0.25">
      <c r="A124">
        <f>COUNTIFS(B:B,B124)</f>
        <v>1</v>
      </c>
      <c r="B124" t="str">
        <f>C124&amp;" "&amp;D124</f>
        <v>Kevin Feigel</v>
      </c>
      <c r="C124" t="s">
        <v>249</v>
      </c>
      <c r="D124" t="s">
        <v>250</v>
      </c>
      <c r="E124" t="s">
        <v>251</v>
      </c>
      <c r="F124" t="s">
        <v>645</v>
      </c>
      <c r="G124" t="s">
        <v>249</v>
      </c>
      <c r="H124" t="s">
        <v>250</v>
      </c>
    </row>
    <row r="125" spans="1:8" x14ac:dyDescent="0.25">
      <c r="A125">
        <f>COUNTIFS(B:B,B125)</f>
        <v>1</v>
      </c>
      <c r="B125" t="str">
        <f>C125&amp;" "&amp;D125</f>
        <v>Kevin Gilligan</v>
      </c>
      <c r="C125" t="s">
        <v>249</v>
      </c>
      <c r="D125" t="s">
        <v>252</v>
      </c>
      <c r="E125" t="s">
        <v>253</v>
      </c>
      <c r="F125" t="s">
        <v>831</v>
      </c>
      <c r="G125" t="s">
        <v>249</v>
      </c>
      <c r="H125" t="s">
        <v>252</v>
      </c>
    </row>
    <row r="126" spans="1:8" x14ac:dyDescent="0.25">
      <c r="A126">
        <f>COUNTIFS(B:B,B126)</f>
        <v>1</v>
      </c>
      <c r="B126" t="str">
        <f>C126&amp;" "&amp;D126</f>
        <v>Kevin Inglis</v>
      </c>
      <c r="C126" t="s">
        <v>249</v>
      </c>
      <c r="D126" t="s">
        <v>176</v>
      </c>
      <c r="E126" t="s">
        <v>254</v>
      </c>
      <c r="F126" t="s">
        <v>646</v>
      </c>
      <c r="G126" t="s">
        <v>249</v>
      </c>
      <c r="H126" t="s">
        <v>176</v>
      </c>
    </row>
    <row r="127" spans="1:8" x14ac:dyDescent="0.25">
      <c r="A127">
        <f>COUNTIFS(B:B,B127)</f>
        <v>1</v>
      </c>
      <c r="B127" t="str">
        <f>C127&amp;" "&amp;D127</f>
        <v>Jacobus (Kobus) Le Roux</v>
      </c>
      <c r="C127" t="s">
        <v>207</v>
      </c>
      <c r="D127" t="s">
        <v>208</v>
      </c>
      <c r="E127" t="s">
        <v>209</v>
      </c>
      <c r="F127" t="s">
        <v>649</v>
      </c>
      <c r="G127" t="s">
        <v>648</v>
      </c>
      <c r="H127" t="s">
        <v>650</v>
      </c>
    </row>
    <row r="128" spans="1:8" x14ac:dyDescent="0.25">
      <c r="A128">
        <f>COUNTIFS(B:B,B128)</f>
        <v>1</v>
      </c>
      <c r="B128" t="s">
        <v>647</v>
      </c>
      <c r="C128" t="s">
        <v>648</v>
      </c>
      <c r="D128" t="s">
        <v>208</v>
      </c>
      <c r="F128" t="s">
        <v>649</v>
      </c>
      <c r="G128" t="s">
        <v>648</v>
      </c>
      <c r="H128" t="s">
        <v>650</v>
      </c>
    </row>
    <row r="129" spans="1:8" x14ac:dyDescent="0.25">
      <c r="A129">
        <f>COUNTIFS(B:B,B129)</f>
        <v>1</v>
      </c>
      <c r="B129" t="s">
        <v>649</v>
      </c>
      <c r="C129" t="s">
        <v>648</v>
      </c>
      <c r="D129" t="s">
        <v>650</v>
      </c>
      <c r="F129" t="s">
        <v>649</v>
      </c>
      <c r="G129" t="s">
        <v>648</v>
      </c>
      <c r="H129" t="s">
        <v>650</v>
      </c>
    </row>
    <row r="130" spans="1:8" x14ac:dyDescent="0.25">
      <c r="A130">
        <f>COUNTIFS(B:B,B130)</f>
        <v>1</v>
      </c>
      <c r="B130" t="str">
        <f>C130&amp;" "&amp;D130</f>
        <v>Kristian Sandilands</v>
      </c>
      <c r="C130" t="s">
        <v>255</v>
      </c>
      <c r="D130" t="s">
        <v>100</v>
      </c>
      <c r="E130" t="s">
        <v>256</v>
      </c>
      <c r="F130" t="s">
        <v>651</v>
      </c>
      <c r="G130" t="s">
        <v>255</v>
      </c>
      <c r="H130" t="s">
        <v>100</v>
      </c>
    </row>
    <row r="131" spans="1:8" x14ac:dyDescent="0.25">
      <c r="A131">
        <f>COUNTIFS(B:B,B131)</f>
        <v>1</v>
      </c>
      <c r="B131" t="s">
        <v>462</v>
      </c>
      <c r="C131" t="s">
        <v>255</v>
      </c>
      <c r="D131" t="s">
        <v>463</v>
      </c>
      <c r="F131" t="s">
        <v>651</v>
      </c>
      <c r="G131" t="s">
        <v>255</v>
      </c>
      <c r="H131" t="s">
        <v>100</v>
      </c>
    </row>
    <row r="132" spans="1:8" x14ac:dyDescent="0.25">
      <c r="A132">
        <f>COUNTIFS(B:B,B132)</f>
        <v>1</v>
      </c>
      <c r="B132" t="str">
        <f t="shared" ref="B132:B139" si="1">C132&amp;" "&amp;D132</f>
        <v>Kristopher Hill</v>
      </c>
      <c r="C132" t="s">
        <v>257</v>
      </c>
      <c r="D132" t="s">
        <v>258</v>
      </c>
      <c r="E132" t="s">
        <v>259</v>
      </c>
      <c r="F132" t="s">
        <v>652</v>
      </c>
      <c r="G132" t="s">
        <v>257</v>
      </c>
      <c r="H132" t="s">
        <v>258</v>
      </c>
    </row>
    <row r="133" spans="1:8" x14ac:dyDescent="0.25">
      <c r="A133">
        <f>COUNTIFS(B:B,B133)</f>
        <v>1</v>
      </c>
      <c r="B133" t="str">
        <f t="shared" si="1"/>
        <v>Kurt Brillinger</v>
      </c>
      <c r="C133" t="s">
        <v>260</v>
      </c>
      <c r="D133" t="s">
        <v>261</v>
      </c>
      <c r="E133" t="s">
        <v>262</v>
      </c>
      <c r="F133" t="s">
        <v>832</v>
      </c>
      <c r="G133" t="s">
        <v>260</v>
      </c>
      <c r="H133" t="s">
        <v>261</v>
      </c>
    </row>
    <row r="134" spans="1:8" x14ac:dyDescent="0.25">
      <c r="A134">
        <f>COUNTIFS(B:B,B134)</f>
        <v>1</v>
      </c>
      <c r="B134" t="str">
        <f t="shared" si="1"/>
        <v>Kyle Appelhof</v>
      </c>
      <c r="C134" t="s">
        <v>263</v>
      </c>
      <c r="D134" t="s">
        <v>264</v>
      </c>
      <c r="E134" t="s">
        <v>265</v>
      </c>
      <c r="F134" t="s">
        <v>833</v>
      </c>
      <c r="G134" t="s">
        <v>263</v>
      </c>
      <c r="H134" t="s">
        <v>264</v>
      </c>
    </row>
    <row r="135" spans="1:8" x14ac:dyDescent="0.25">
      <c r="A135">
        <f>COUNTIFS(B:B,B135)</f>
        <v>1</v>
      </c>
      <c r="B135" t="str">
        <f t="shared" si="1"/>
        <v>Kyle Bell</v>
      </c>
      <c r="C135" t="s">
        <v>263</v>
      </c>
      <c r="D135" t="s">
        <v>266</v>
      </c>
      <c r="E135" t="s">
        <v>267</v>
      </c>
      <c r="F135" t="s">
        <v>834</v>
      </c>
      <c r="G135" t="s">
        <v>263</v>
      </c>
      <c r="H135" t="s">
        <v>266</v>
      </c>
    </row>
    <row r="136" spans="1:8" x14ac:dyDescent="0.25">
      <c r="A136">
        <f>COUNTIFS(B:B,B136)</f>
        <v>1</v>
      </c>
      <c r="B136" t="str">
        <f t="shared" si="1"/>
        <v>Kyle Staub</v>
      </c>
      <c r="C136" t="s">
        <v>263</v>
      </c>
      <c r="D136" t="s">
        <v>268</v>
      </c>
      <c r="E136" t="s">
        <v>269</v>
      </c>
      <c r="F136" t="s">
        <v>835</v>
      </c>
      <c r="G136" t="s">
        <v>263</v>
      </c>
      <c r="H136" t="s">
        <v>268</v>
      </c>
    </row>
    <row r="137" spans="1:8" x14ac:dyDescent="0.25">
      <c r="A137">
        <f>COUNTIFS(B:B,B137)</f>
        <v>1</v>
      </c>
      <c r="B137" t="str">
        <f t="shared" si="1"/>
        <v>Kyler Loucks</v>
      </c>
      <c r="C137" t="s">
        <v>270</v>
      </c>
      <c r="D137" t="s">
        <v>271</v>
      </c>
      <c r="E137" t="s">
        <v>272</v>
      </c>
      <c r="F137" t="s">
        <v>653</v>
      </c>
      <c r="G137" t="s">
        <v>270</v>
      </c>
      <c r="H137" t="s">
        <v>271</v>
      </c>
    </row>
    <row r="138" spans="1:8" x14ac:dyDescent="0.25">
      <c r="A138">
        <f>COUNTIFS(B:B,B138)</f>
        <v>1</v>
      </c>
      <c r="B138" t="str">
        <f t="shared" si="1"/>
        <v>Landen Richardson</v>
      </c>
      <c r="C138" t="s">
        <v>273</v>
      </c>
      <c r="D138" t="s">
        <v>274</v>
      </c>
      <c r="E138" t="s">
        <v>275</v>
      </c>
      <c r="F138" t="s">
        <v>654</v>
      </c>
      <c r="G138" t="s">
        <v>273</v>
      </c>
      <c r="H138" t="s">
        <v>274</v>
      </c>
    </row>
    <row r="139" spans="1:8" x14ac:dyDescent="0.25">
      <c r="A139">
        <f>COUNTIFS(B:B,B139)</f>
        <v>1</v>
      </c>
      <c r="B139" t="str">
        <f t="shared" si="1"/>
        <v>Landon Janzen</v>
      </c>
      <c r="C139" t="s">
        <v>276</v>
      </c>
      <c r="D139" t="s">
        <v>277</v>
      </c>
      <c r="E139" t="s">
        <v>278</v>
      </c>
      <c r="F139" t="s">
        <v>655</v>
      </c>
      <c r="G139" t="s">
        <v>276</v>
      </c>
      <c r="H139" t="s">
        <v>277</v>
      </c>
    </row>
    <row r="140" spans="1:8" x14ac:dyDescent="0.25">
      <c r="A140">
        <f>COUNTIFS(B:B,B140)</f>
        <v>1</v>
      </c>
      <c r="B140" t="s">
        <v>656</v>
      </c>
      <c r="C140" t="s">
        <v>657</v>
      </c>
      <c r="D140" t="s">
        <v>658</v>
      </c>
      <c r="F140" t="s">
        <v>656</v>
      </c>
      <c r="G140" t="s">
        <v>657</v>
      </c>
      <c r="H140" t="s">
        <v>658</v>
      </c>
    </row>
    <row r="141" spans="1:8" x14ac:dyDescent="0.25">
      <c r="A141">
        <f>COUNTIFS(B:B,B141)</f>
        <v>1</v>
      </c>
      <c r="B141" t="str">
        <f>C141&amp;" "&amp;D141</f>
        <v>Leighton McDaid</v>
      </c>
      <c r="C141" t="s">
        <v>279</v>
      </c>
      <c r="D141" t="s">
        <v>280</v>
      </c>
      <c r="E141" t="s">
        <v>281</v>
      </c>
      <c r="F141" t="s">
        <v>659</v>
      </c>
      <c r="G141" t="s">
        <v>279</v>
      </c>
      <c r="H141" t="s">
        <v>280</v>
      </c>
    </row>
    <row r="142" spans="1:8" x14ac:dyDescent="0.25">
      <c r="A142">
        <f>COUNTIFS(B:B,B142)</f>
        <v>1</v>
      </c>
      <c r="B142" t="str">
        <f>C142&amp;" "&amp;D142</f>
        <v>Leo Petitti</v>
      </c>
      <c r="C142" t="s">
        <v>282</v>
      </c>
      <c r="D142" t="s">
        <v>283</v>
      </c>
      <c r="E142" t="s">
        <v>284</v>
      </c>
      <c r="F142" t="s">
        <v>836</v>
      </c>
      <c r="G142" t="s">
        <v>282</v>
      </c>
      <c r="H142" t="s">
        <v>283</v>
      </c>
    </row>
    <row r="143" spans="1:8" x14ac:dyDescent="0.25">
      <c r="A143">
        <f>COUNTIFS(B:B,B143)</f>
        <v>1</v>
      </c>
      <c r="B143" t="s">
        <v>660</v>
      </c>
      <c r="C143" t="s">
        <v>661</v>
      </c>
      <c r="D143" t="s">
        <v>662</v>
      </c>
      <c r="F143" t="s">
        <v>660</v>
      </c>
      <c r="G143" t="s">
        <v>661</v>
      </c>
      <c r="H143" t="s">
        <v>662</v>
      </c>
    </row>
    <row r="144" spans="1:8" x14ac:dyDescent="0.25">
      <c r="A144">
        <f>COUNTIFS(B:B,B144)</f>
        <v>1</v>
      </c>
      <c r="B144" t="s">
        <v>663</v>
      </c>
      <c r="C144" t="s">
        <v>664</v>
      </c>
      <c r="D144" t="s">
        <v>665</v>
      </c>
      <c r="F144" t="s">
        <v>663</v>
      </c>
      <c r="G144" t="s">
        <v>664</v>
      </c>
      <c r="H144" t="s">
        <v>665</v>
      </c>
    </row>
    <row r="145" spans="1:8" x14ac:dyDescent="0.25">
      <c r="A145">
        <f>COUNTIFS(B:B,B145)</f>
        <v>1</v>
      </c>
      <c r="B145" t="s">
        <v>666</v>
      </c>
      <c r="C145" t="s">
        <v>667</v>
      </c>
      <c r="D145" t="s">
        <v>668</v>
      </c>
      <c r="F145" t="s">
        <v>666</v>
      </c>
      <c r="G145" t="s">
        <v>667</v>
      </c>
      <c r="H145" t="s">
        <v>668</v>
      </c>
    </row>
    <row r="146" spans="1:8" x14ac:dyDescent="0.25">
      <c r="A146">
        <f>COUNTIFS(B:B,B146)</f>
        <v>1</v>
      </c>
      <c r="B146" t="s">
        <v>669</v>
      </c>
      <c r="C146" t="s">
        <v>667</v>
      </c>
      <c r="D146" t="s">
        <v>670</v>
      </c>
      <c r="F146" t="s">
        <v>669</v>
      </c>
      <c r="G146" t="s">
        <v>667</v>
      </c>
      <c r="H146" t="s">
        <v>670</v>
      </c>
    </row>
    <row r="147" spans="1:8" x14ac:dyDescent="0.25">
      <c r="A147">
        <f>COUNTIFS(B:B,B147)</f>
        <v>1</v>
      </c>
      <c r="B147" t="s">
        <v>671</v>
      </c>
      <c r="C147" t="s">
        <v>672</v>
      </c>
      <c r="D147" t="s">
        <v>140</v>
      </c>
      <c r="F147" t="s">
        <v>671</v>
      </c>
      <c r="G147" t="s">
        <v>672</v>
      </c>
      <c r="H147" t="s">
        <v>140</v>
      </c>
    </row>
    <row r="148" spans="1:8" x14ac:dyDescent="0.25">
      <c r="A148">
        <f>COUNTIFS(B:B,B148)</f>
        <v>1</v>
      </c>
      <c r="B148" t="str">
        <f>C148&amp;" "&amp;D148</f>
        <v>Marcel Walls</v>
      </c>
      <c r="C148" t="s">
        <v>285</v>
      </c>
      <c r="D148" t="s">
        <v>286</v>
      </c>
      <c r="E148" t="s">
        <v>287</v>
      </c>
      <c r="F148" t="s">
        <v>837</v>
      </c>
      <c r="G148" t="s">
        <v>285</v>
      </c>
      <c r="H148" t="s">
        <v>286</v>
      </c>
    </row>
    <row r="149" spans="1:8" x14ac:dyDescent="0.25">
      <c r="A149">
        <f>COUNTIFS(B:B,B149)</f>
        <v>1</v>
      </c>
      <c r="B149" t="str">
        <f>C149&amp;" "&amp;D149</f>
        <v>Mark Bortoluzzi</v>
      </c>
      <c r="C149" t="s">
        <v>288</v>
      </c>
      <c r="D149" t="s">
        <v>289</v>
      </c>
      <c r="E149" t="s">
        <v>290</v>
      </c>
      <c r="F149" t="s">
        <v>673</v>
      </c>
      <c r="G149" t="s">
        <v>288</v>
      </c>
      <c r="H149" t="s">
        <v>289</v>
      </c>
    </row>
    <row r="150" spans="1:8" x14ac:dyDescent="0.25">
      <c r="A150">
        <f>COUNTIFS(B:B,B150)</f>
        <v>1</v>
      </c>
      <c r="B150" t="str">
        <f>C150&amp;" "&amp;D150</f>
        <v>Martyn Lafrance</v>
      </c>
      <c r="C150" t="s">
        <v>291</v>
      </c>
      <c r="D150" t="s">
        <v>292</v>
      </c>
      <c r="E150" t="s">
        <v>293</v>
      </c>
      <c r="F150" t="s">
        <v>674</v>
      </c>
      <c r="G150" t="s">
        <v>291</v>
      </c>
      <c r="H150" t="s">
        <v>292</v>
      </c>
    </row>
    <row r="151" spans="1:8" x14ac:dyDescent="0.25">
      <c r="A151">
        <f>COUNTIFS(B:B,B151)</f>
        <v>1</v>
      </c>
      <c r="B151" t="str">
        <f>C151&amp;" "&amp;D151</f>
        <v>Matt Copithorne</v>
      </c>
      <c r="C151" t="s">
        <v>294</v>
      </c>
      <c r="D151" t="s">
        <v>295</v>
      </c>
      <c r="E151" t="s">
        <v>296</v>
      </c>
      <c r="F151" t="s">
        <v>675</v>
      </c>
      <c r="G151" t="s">
        <v>294</v>
      </c>
      <c r="H151" t="s">
        <v>295</v>
      </c>
    </row>
    <row r="152" spans="1:8" x14ac:dyDescent="0.25">
      <c r="A152">
        <f>COUNTIFS(B:B,B152)</f>
        <v>1</v>
      </c>
      <c r="B152" t="s">
        <v>678</v>
      </c>
      <c r="C152" t="s">
        <v>298</v>
      </c>
      <c r="D152" t="s">
        <v>295</v>
      </c>
      <c r="F152" t="s">
        <v>675</v>
      </c>
      <c r="G152" t="s">
        <v>294</v>
      </c>
      <c r="H152" t="s">
        <v>295</v>
      </c>
    </row>
    <row r="153" spans="1:8" x14ac:dyDescent="0.25">
      <c r="A153">
        <f>COUNTIFS(B:B,B153)</f>
        <v>1</v>
      </c>
      <c r="B153" t="s">
        <v>676</v>
      </c>
      <c r="C153" t="s">
        <v>294</v>
      </c>
      <c r="D153" t="s">
        <v>677</v>
      </c>
      <c r="F153" t="s">
        <v>676</v>
      </c>
      <c r="G153" t="s">
        <v>294</v>
      </c>
      <c r="H153" t="s">
        <v>677</v>
      </c>
    </row>
    <row r="154" spans="1:8" x14ac:dyDescent="0.25">
      <c r="A154">
        <f>COUNTIFS(B:B,B154)</f>
        <v>1</v>
      </c>
      <c r="B154" t="str">
        <f>C154&amp;" "&amp;D154</f>
        <v>Matt Potter</v>
      </c>
      <c r="C154" t="s">
        <v>294</v>
      </c>
      <c r="D154" t="s">
        <v>155</v>
      </c>
      <c r="E154" t="s">
        <v>297</v>
      </c>
      <c r="F154" t="s">
        <v>464</v>
      </c>
      <c r="G154" t="s">
        <v>294</v>
      </c>
      <c r="H154" t="s">
        <v>155</v>
      </c>
    </row>
    <row r="155" spans="1:8" x14ac:dyDescent="0.25">
      <c r="A155">
        <f>COUNTIFS(B:B,B155)</f>
        <v>1</v>
      </c>
      <c r="B155" t="s">
        <v>465</v>
      </c>
      <c r="C155" t="s">
        <v>294</v>
      </c>
      <c r="D155" t="s">
        <v>301</v>
      </c>
      <c r="F155" t="s">
        <v>465</v>
      </c>
      <c r="G155" t="s">
        <v>294</v>
      </c>
      <c r="H155" t="s">
        <v>301</v>
      </c>
    </row>
    <row r="156" spans="1:8" x14ac:dyDescent="0.25">
      <c r="A156">
        <f>COUNTIFS(B:B,B156)</f>
        <v>1</v>
      </c>
      <c r="B156" t="str">
        <f>C156&amp;" "&amp;D156</f>
        <v>Matthew Preston</v>
      </c>
      <c r="C156" t="s">
        <v>298</v>
      </c>
      <c r="D156" t="s">
        <v>301</v>
      </c>
      <c r="E156" t="s">
        <v>302</v>
      </c>
      <c r="F156" t="s">
        <v>465</v>
      </c>
      <c r="G156" t="s">
        <v>294</v>
      </c>
      <c r="H156" t="s">
        <v>301</v>
      </c>
    </row>
    <row r="157" spans="1:8" x14ac:dyDescent="0.25">
      <c r="A157">
        <f>COUNTIFS(B:B,B157)</f>
        <v>1</v>
      </c>
      <c r="B157" t="str">
        <f>C157&amp;" "&amp;D157</f>
        <v>Matthew Eagletail</v>
      </c>
      <c r="C157" t="s">
        <v>298</v>
      </c>
      <c r="D157" t="s">
        <v>299</v>
      </c>
      <c r="E157" t="s">
        <v>300</v>
      </c>
      <c r="F157" t="s">
        <v>679</v>
      </c>
      <c r="G157" t="s">
        <v>298</v>
      </c>
      <c r="H157" t="s">
        <v>299</v>
      </c>
    </row>
    <row r="158" spans="1:8" x14ac:dyDescent="0.25">
      <c r="A158">
        <f>COUNTIFS(B:B,B158)</f>
        <v>1</v>
      </c>
      <c r="B158" t="s">
        <v>680</v>
      </c>
      <c r="C158" t="s">
        <v>298</v>
      </c>
      <c r="D158" t="s">
        <v>681</v>
      </c>
      <c r="F158" t="s">
        <v>680</v>
      </c>
      <c r="G158" t="s">
        <v>298</v>
      </c>
      <c r="H158" t="s">
        <v>681</v>
      </c>
    </row>
    <row r="159" spans="1:8" x14ac:dyDescent="0.25">
      <c r="A159">
        <f>COUNTIFS(B:B,B159)</f>
        <v>1</v>
      </c>
      <c r="B159" t="s">
        <v>466</v>
      </c>
      <c r="C159" t="s">
        <v>298</v>
      </c>
      <c r="D159" t="s">
        <v>467</v>
      </c>
      <c r="F159" t="s">
        <v>466</v>
      </c>
      <c r="G159" t="s">
        <v>298</v>
      </c>
      <c r="H159" t="s">
        <v>467</v>
      </c>
    </row>
    <row r="160" spans="1:8" x14ac:dyDescent="0.25">
      <c r="A160">
        <f>COUNTIFS(B:B,B160)</f>
        <v>1</v>
      </c>
      <c r="B160" t="str">
        <f>C160&amp;" "&amp;D160</f>
        <v>Matthew Smith</v>
      </c>
      <c r="C160" t="s">
        <v>298</v>
      </c>
      <c r="D160" t="s">
        <v>303</v>
      </c>
      <c r="E160" t="s">
        <v>304</v>
      </c>
      <c r="F160" t="s">
        <v>838</v>
      </c>
      <c r="G160" t="s">
        <v>298</v>
      </c>
      <c r="H160" t="s">
        <v>303</v>
      </c>
    </row>
    <row r="161" spans="1:8" x14ac:dyDescent="0.25">
      <c r="A161">
        <f>COUNTIFS(B:B,B161)</f>
        <v>1</v>
      </c>
      <c r="B161" t="s">
        <v>682</v>
      </c>
      <c r="C161" t="s">
        <v>683</v>
      </c>
      <c r="D161" t="s">
        <v>684</v>
      </c>
      <c r="F161" t="s">
        <v>682</v>
      </c>
      <c r="G161" t="s">
        <v>683</v>
      </c>
      <c r="H161" t="s">
        <v>684</v>
      </c>
    </row>
    <row r="162" spans="1:8" x14ac:dyDescent="0.25">
      <c r="A162">
        <f>COUNTIFS(B:B,B162)</f>
        <v>1</v>
      </c>
      <c r="B162" t="s">
        <v>685</v>
      </c>
      <c r="C162" t="s">
        <v>683</v>
      </c>
      <c r="D162" t="s">
        <v>686</v>
      </c>
      <c r="F162" t="s">
        <v>685</v>
      </c>
      <c r="G162" t="s">
        <v>683</v>
      </c>
      <c r="H162" t="s">
        <v>686</v>
      </c>
    </row>
    <row r="163" spans="1:8" x14ac:dyDescent="0.25">
      <c r="A163">
        <f>COUNTIFS(B:B,B163)</f>
        <v>1</v>
      </c>
      <c r="B163" t="str">
        <f>C163&amp;" "&amp;D163</f>
        <v>Michael Boyle</v>
      </c>
      <c r="C163" t="s">
        <v>305</v>
      </c>
      <c r="D163" t="s">
        <v>306</v>
      </c>
      <c r="E163" t="s">
        <v>307</v>
      </c>
      <c r="F163" t="s">
        <v>839</v>
      </c>
      <c r="G163" t="s">
        <v>305</v>
      </c>
      <c r="H163" t="s">
        <v>306</v>
      </c>
    </row>
    <row r="164" spans="1:8" x14ac:dyDescent="0.25">
      <c r="A164">
        <f>COUNTIFS(B:B,B164)</f>
        <v>1</v>
      </c>
      <c r="B164" t="str">
        <f>C164&amp;" "&amp;D164</f>
        <v>Michael Federkeil</v>
      </c>
      <c r="C164" t="s">
        <v>305</v>
      </c>
      <c r="D164" t="s">
        <v>308</v>
      </c>
      <c r="E164" t="s">
        <v>309</v>
      </c>
      <c r="F164" t="s">
        <v>840</v>
      </c>
      <c r="G164" t="s">
        <v>305</v>
      </c>
      <c r="H164" t="s">
        <v>308</v>
      </c>
    </row>
    <row r="165" spans="1:8" x14ac:dyDescent="0.25">
      <c r="A165">
        <f>COUNTIFS(B:B,B165)</f>
        <v>1</v>
      </c>
      <c r="B165" t="str">
        <f>C165&amp;" "&amp;D165</f>
        <v>Mihailo Howe</v>
      </c>
      <c r="C165" t="s">
        <v>311</v>
      </c>
      <c r="D165" t="s">
        <v>312</v>
      </c>
      <c r="E165" t="s">
        <v>313</v>
      </c>
      <c r="F165" t="s">
        <v>687</v>
      </c>
      <c r="G165" t="s">
        <v>311</v>
      </c>
      <c r="H165" t="s">
        <v>312</v>
      </c>
    </row>
    <row r="166" spans="1:8" x14ac:dyDescent="0.25">
      <c r="A166">
        <f>COUNTIFS(B:B,B166)</f>
        <v>1</v>
      </c>
      <c r="B166" t="s">
        <v>688</v>
      </c>
      <c r="C166" t="s">
        <v>314</v>
      </c>
      <c r="D166" t="s">
        <v>689</v>
      </c>
      <c r="F166" t="s">
        <v>688</v>
      </c>
      <c r="G166" t="s">
        <v>314</v>
      </c>
      <c r="H166" t="s">
        <v>689</v>
      </c>
    </row>
    <row r="167" spans="1:8" x14ac:dyDescent="0.25">
      <c r="A167">
        <f>COUNTIFS(B:B,B167)</f>
        <v>1</v>
      </c>
      <c r="B167" t="s">
        <v>690</v>
      </c>
      <c r="C167" t="s">
        <v>314</v>
      </c>
      <c r="D167" t="s">
        <v>691</v>
      </c>
      <c r="F167" t="s">
        <v>688</v>
      </c>
      <c r="G167" t="s">
        <v>314</v>
      </c>
      <c r="H167" t="s">
        <v>689</v>
      </c>
    </row>
    <row r="168" spans="1:8" x14ac:dyDescent="0.25">
      <c r="A168">
        <f>COUNTIFS(B:B,B168)</f>
        <v>1</v>
      </c>
      <c r="B168" t="str">
        <f>C168&amp;" "&amp;D168</f>
        <v>Mike Gaudet</v>
      </c>
      <c r="C168" t="s">
        <v>314</v>
      </c>
      <c r="D168" t="s">
        <v>315</v>
      </c>
      <c r="E168" t="s">
        <v>316</v>
      </c>
      <c r="F168" t="s">
        <v>841</v>
      </c>
      <c r="G168" t="s">
        <v>314</v>
      </c>
      <c r="H168" t="s">
        <v>315</v>
      </c>
    </row>
    <row r="169" spans="1:8" x14ac:dyDescent="0.25">
      <c r="A169">
        <f>COUNTIFS(B:B,B169)</f>
        <v>1</v>
      </c>
      <c r="B169" t="str">
        <f>C169&amp;" "&amp;D169</f>
        <v>Mike Mastromartino</v>
      </c>
      <c r="C169" t="s">
        <v>314</v>
      </c>
      <c r="D169" t="s">
        <v>97</v>
      </c>
      <c r="E169" t="s">
        <v>317</v>
      </c>
      <c r="F169" t="s">
        <v>842</v>
      </c>
      <c r="G169" t="s">
        <v>314</v>
      </c>
      <c r="H169" t="s">
        <v>97</v>
      </c>
    </row>
    <row r="170" spans="1:8" x14ac:dyDescent="0.25">
      <c r="A170">
        <f>COUNTIFS(B:B,B170)</f>
        <v>1</v>
      </c>
      <c r="B170" t="str">
        <f>C170&amp;" "&amp;D170</f>
        <v>Mike Phenix</v>
      </c>
      <c r="C170" t="s">
        <v>314</v>
      </c>
      <c r="D170" t="s">
        <v>318</v>
      </c>
      <c r="E170" t="s">
        <v>319</v>
      </c>
      <c r="F170" t="s">
        <v>843</v>
      </c>
      <c r="G170" t="s">
        <v>314</v>
      </c>
      <c r="H170" t="s">
        <v>318</v>
      </c>
    </row>
    <row r="171" spans="1:8" x14ac:dyDescent="0.25">
      <c r="A171">
        <f>COUNTIFS(B:B,B171)</f>
        <v>1</v>
      </c>
      <c r="B171" t="str">
        <f>C171&amp;" "&amp;D171</f>
        <v>Michael Sandilands</v>
      </c>
      <c r="C171" t="s">
        <v>305</v>
      </c>
      <c r="D171" t="s">
        <v>100</v>
      </c>
      <c r="E171" t="s">
        <v>310</v>
      </c>
      <c r="F171" t="s">
        <v>692</v>
      </c>
      <c r="G171" t="s">
        <v>314</v>
      </c>
      <c r="H171" t="s">
        <v>100</v>
      </c>
    </row>
    <row r="172" spans="1:8" x14ac:dyDescent="0.25">
      <c r="A172">
        <f>COUNTIFS(B:B,B172)</f>
        <v>1</v>
      </c>
      <c r="B172" t="s">
        <v>692</v>
      </c>
      <c r="C172" t="s">
        <v>314</v>
      </c>
      <c r="D172" t="s">
        <v>100</v>
      </c>
      <c r="F172" t="s">
        <v>692</v>
      </c>
      <c r="G172" t="s">
        <v>314</v>
      </c>
      <c r="H172" t="s">
        <v>100</v>
      </c>
    </row>
    <row r="173" spans="1:8" x14ac:dyDescent="0.25">
      <c r="A173">
        <f>COUNTIFS(B:B,B173)</f>
        <v>1</v>
      </c>
      <c r="B173" t="s">
        <v>693</v>
      </c>
      <c r="C173" t="s">
        <v>314</v>
      </c>
      <c r="D173" t="s">
        <v>694</v>
      </c>
      <c r="F173" t="s">
        <v>692</v>
      </c>
      <c r="G173" t="s">
        <v>314</v>
      </c>
      <c r="H173" t="s">
        <v>100</v>
      </c>
    </row>
    <row r="174" spans="1:8" x14ac:dyDescent="0.25">
      <c r="A174">
        <f>COUNTIFS(B:B,B174)</f>
        <v>1</v>
      </c>
      <c r="B174" t="s">
        <v>695</v>
      </c>
      <c r="C174" t="s">
        <v>696</v>
      </c>
      <c r="D174" t="s">
        <v>697</v>
      </c>
      <c r="F174" t="s">
        <v>695</v>
      </c>
      <c r="G174" t="s">
        <v>696</v>
      </c>
      <c r="H174" t="s">
        <v>697</v>
      </c>
    </row>
    <row r="175" spans="1:8" x14ac:dyDescent="0.25">
      <c r="A175">
        <f>COUNTIFS(B:B,B175)</f>
        <v>1</v>
      </c>
      <c r="B175" t="str">
        <f>C175&amp;" "&amp;D175</f>
        <v>Misty Seastrom</v>
      </c>
      <c r="C175" t="s">
        <v>320</v>
      </c>
      <c r="D175" t="s">
        <v>321</v>
      </c>
      <c r="E175" t="s">
        <v>322</v>
      </c>
      <c r="F175" t="s">
        <v>698</v>
      </c>
      <c r="G175" t="s">
        <v>320</v>
      </c>
      <c r="H175" t="s">
        <v>321</v>
      </c>
    </row>
    <row r="176" spans="1:8" x14ac:dyDescent="0.25">
      <c r="A176">
        <f>COUNTIFS(B:B,B176)</f>
        <v>1</v>
      </c>
      <c r="B176" t="s">
        <v>699</v>
      </c>
      <c r="C176" t="s">
        <v>700</v>
      </c>
      <c r="D176" t="s">
        <v>701</v>
      </c>
      <c r="F176" t="s">
        <v>699</v>
      </c>
      <c r="G176" t="s">
        <v>700</v>
      </c>
      <c r="H176" t="s">
        <v>701</v>
      </c>
    </row>
    <row r="177" spans="1:8" x14ac:dyDescent="0.25">
      <c r="A177">
        <f>COUNTIFS(B:B,B177)</f>
        <v>1</v>
      </c>
      <c r="B177" t="str">
        <f>C177&amp;" "&amp;D177</f>
        <v>Nat Couzens</v>
      </c>
      <c r="C177" t="s">
        <v>440</v>
      </c>
      <c r="D177" t="s">
        <v>441</v>
      </c>
      <c r="E177" t="s">
        <v>442</v>
      </c>
      <c r="F177" t="s">
        <v>844</v>
      </c>
      <c r="G177" t="s">
        <v>440</v>
      </c>
      <c r="H177" t="s">
        <v>441</v>
      </c>
    </row>
    <row r="178" spans="1:8" x14ac:dyDescent="0.25">
      <c r="A178">
        <f>COUNTIFS(B:B,B178)</f>
        <v>1</v>
      </c>
      <c r="B178" t="s">
        <v>468</v>
      </c>
      <c r="C178" t="s">
        <v>440</v>
      </c>
      <c r="D178" t="s">
        <v>469</v>
      </c>
      <c r="F178" t="s">
        <v>844</v>
      </c>
      <c r="G178" t="s">
        <v>440</v>
      </c>
      <c r="H178" t="s">
        <v>441</v>
      </c>
    </row>
    <row r="179" spans="1:8" x14ac:dyDescent="0.25">
      <c r="A179">
        <f>COUNTIFS(B:B,B179)</f>
        <v>1</v>
      </c>
      <c r="B179" t="s">
        <v>470</v>
      </c>
      <c r="C179" t="s">
        <v>471</v>
      </c>
      <c r="D179" t="s">
        <v>441</v>
      </c>
      <c r="F179" t="s">
        <v>844</v>
      </c>
      <c r="G179" t="s">
        <v>440</v>
      </c>
      <c r="H179" t="s">
        <v>441</v>
      </c>
    </row>
    <row r="180" spans="1:8" x14ac:dyDescent="0.25">
      <c r="A180">
        <f>COUNTIFS(B:B,B180)</f>
        <v>1</v>
      </c>
      <c r="B180" t="s">
        <v>702</v>
      </c>
      <c r="C180" t="s">
        <v>703</v>
      </c>
      <c r="D180" t="s">
        <v>704</v>
      </c>
      <c r="F180" t="s">
        <v>863</v>
      </c>
      <c r="G180" t="s">
        <v>703</v>
      </c>
      <c r="H180" t="s">
        <v>864</v>
      </c>
    </row>
    <row r="181" spans="1:8" x14ac:dyDescent="0.25">
      <c r="A181">
        <f>COUNTIFS(B:B,B181)</f>
        <v>1</v>
      </c>
      <c r="B181" t="s">
        <v>705</v>
      </c>
      <c r="C181" t="s">
        <v>703</v>
      </c>
      <c r="D181" t="s">
        <v>706</v>
      </c>
      <c r="F181" t="s">
        <v>705</v>
      </c>
      <c r="G181" t="s">
        <v>703</v>
      </c>
      <c r="H181" t="s">
        <v>706</v>
      </c>
    </row>
    <row r="182" spans="1:8" x14ac:dyDescent="0.25">
      <c r="A182">
        <f>COUNTIFS(B:B,B182)</f>
        <v>1</v>
      </c>
      <c r="B182" t="s">
        <v>707</v>
      </c>
      <c r="C182" t="s">
        <v>708</v>
      </c>
      <c r="D182" t="s">
        <v>709</v>
      </c>
      <c r="F182" t="s">
        <v>707</v>
      </c>
      <c r="G182" t="s">
        <v>708</v>
      </c>
      <c r="H182" t="s">
        <v>709</v>
      </c>
    </row>
    <row r="183" spans="1:8" x14ac:dyDescent="0.25">
      <c r="A183">
        <f>COUNTIFS(B:B,B183)</f>
        <v>1</v>
      </c>
      <c r="B183" t="s">
        <v>710</v>
      </c>
      <c r="C183" t="s">
        <v>323</v>
      </c>
      <c r="D183" t="s">
        <v>602</v>
      </c>
      <c r="F183" t="s">
        <v>710</v>
      </c>
      <c r="G183" t="s">
        <v>323</v>
      </c>
      <c r="H183" t="s">
        <v>602</v>
      </c>
    </row>
    <row r="184" spans="1:8" x14ac:dyDescent="0.25">
      <c r="A184">
        <f>COUNTIFS(B:B,B184)</f>
        <v>1</v>
      </c>
      <c r="B184" t="str">
        <f>C184&amp;" "&amp;D184</f>
        <v>Nicholas West</v>
      </c>
      <c r="C184" t="s">
        <v>323</v>
      </c>
      <c r="D184" t="s">
        <v>324</v>
      </c>
      <c r="E184" t="s">
        <v>325</v>
      </c>
      <c r="F184" t="s">
        <v>845</v>
      </c>
      <c r="G184" t="s">
        <v>323</v>
      </c>
      <c r="H184" t="s">
        <v>324</v>
      </c>
    </row>
    <row r="185" spans="1:8" x14ac:dyDescent="0.25">
      <c r="A185">
        <f>COUNTIFS(B:B,B185)</f>
        <v>1</v>
      </c>
      <c r="B185" t="s">
        <v>711</v>
      </c>
      <c r="C185" t="s">
        <v>326</v>
      </c>
      <c r="D185" t="s">
        <v>712</v>
      </c>
      <c r="F185" t="s">
        <v>711</v>
      </c>
      <c r="G185" t="s">
        <v>326</v>
      </c>
      <c r="H185" t="s">
        <v>712</v>
      </c>
    </row>
    <row r="186" spans="1:8" x14ac:dyDescent="0.25">
      <c r="A186">
        <f>COUNTIFS(B:B,B186)</f>
        <v>1</v>
      </c>
      <c r="B186" t="str">
        <f>C186&amp;" "&amp;D186</f>
        <v>Nick Facey</v>
      </c>
      <c r="C186" t="s">
        <v>326</v>
      </c>
      <c r="D186" t="s">
        <v>327</v>
      </c>
      <c r="E186" t="s">
        <v>328</v>
      </c>
      <c r="F186" t="s">
        <v>713</v>
      </c>
      <c r="G186" t="s">
        <v>326</v>
      </c>
      <c r="H186" t="s">
        <v>327</v>
      </c>
    </row>
    <row r="187" spans="1:8" x14ac:dyDescent="0.25">
      <c r="A187">
        <f>COUNTIFS(B:B,B187)</f>
        <v>1</v>
      </c>
      <c r="B187" t="s">
        <v>714</v>
      </c>
      <c r="C187" t="s">
        <v>326</v>
      </c>
      <c r="D187" t="s">
        <v>715</v>
      </c>
      <c r="F187" t="s">
        <v>714</v>
      </c>
      <c r="G187" t="s">
        <v>326</v>
      </c>
      <c r="H187" t="s">
        <v>715</v>
      </c>
    </row>
    <row r="188" spans="1:8" x14ac:dyDescent="0.25">
      <c r="A188">
        <f>COUNTIFS(B:B,B188)</f>
        <v>1</v>
      </c>
      <c r="B188" t="s">
        <v>716</v>
      </c>
      <c r="C188" t="s">
        <v>329</v>
      </c>
      <c r="D188" t="s">
        <v>717</v>
      </c>
      <c r="F188" t="s">
        <v>718</v>
      </c>
      <c r="G188" t="s">
        <v>329</v>
      </c>
      <c r="H188" t="s">
        <v>330</v>
      </c>
    </row>
    <row r="189" spans="1:8" x14ac:dyDescent="0.25">
      <c r="A189">
        <f>COUNTIFS(B:B,B189)</f>
        <v>1</v>
      </c>
      <c r="B189" t="str">
        <f>C189&amp;" "&amp;D189</f>
        <v>Nicole Henkel</v>
      </c>
      <c r="C189" t="s">
        <v>329</v>
      </c>
      <c r="D189" t="s">
        <v>330</v>
      </c>
      <c r="E189" t="s">
        <v>331</v>
      </c>
      <c r="F189" t="s">
        <v>718</v>
      </c>
      <c r="G189" t="s">
        <v>329</v>
      </c>
      <c r="H189" t="s">
        <v>330</v>
      </c>
    </row>
    <row r="190" spans="1:8" x14ac:dyDescent="0.25">
      <c r="A190">
        <f>COUNTIFS(B:B,B190)</f>
        <v>1</v>
      </c>
      <c r="B190" t="str">
        <f>C190&amp;" "&amp;D190</f>
        <v>Nik Hayward</v>
      </c>
      <c r="C190" t="s">
        <v>332</v>
      </c>
      <c r="D190" t="s">
        <v>333</v>
      </c>
      <c r="E190" t="s">
        <v>334</v>
      </c>
      <c r="F190" t="s">
        <v>719</v>
      </c>
      <c r="G190" t="s">
        <v>332</v>
      </c>
      <c r="H190" t="s">
        <v>333</v>
      </c>
    </row>
    <row r="191" spans="1:8" x14ac:dyDescent="0.25">
      <c r="A191">
        <f>COUNTIFS(B:B,B191)</f>
        <v>1</v>
      </c>
      <c r="B191" t="s">
        <v>720</v>
      </c>
      <c r="C191" t="s">
        <v>332</v>
      </c>
      <c r="D191" t="s">
        <v>721</v>
      </c>
      <c r="F191" t="s">
        <v>720</v>
      </c>
      <c r="G191" t="s">
        <v>332</v>
      </c>
      <c r="H191" t="s">
        <v>721</v>
      </c>
    </row>
    <row r="192" spans="1:8" x14ac:dyDescent="0.25">
      <c r="A192">
        <f>COUNTIFS(B:B,B192)</f>
        <v>1</v>
      </c>
      <c r="B192" t="s">
        <v>722</v>
      </c>
      <c r="C192" t="s">
        <v>723</v>
      </c>
      <c r="D192" t="s">
        <v>724</v>
      </c>
      <c r="F192" t="s">
        <v>722</v>
      </c>
      <c r="G192" t="s">
        <v>723</v>
      </c>
      <c r="H192" t="s">
        <v>724</v>
      </c>
    </row>
    <row r="193" spans="1:8" x14ac:dyDescent="0.25">
      <c r="A193">
        <f>COUNTIFS(B:B,B193)</f>
        <v>1</v>
      </c>
      <c r="B193" t="s">
        <v>472</v>
      </c>
      <c r="C193" t="s">
        <v>473</v>
      </c>
      <c r="D193" t="s">
        <v>474</v>
      </c>
      <c r="F193" t="s">
        <v>472</v>
      </c>
      <c r="G193" t="s">
        <v>473</v>
      </c>
      <c r="H193" t="s">
        <v>474</v>
      </c>
    </row>
    <row r="194" spans="1:8" x14ac:dyDescent="0.25">
      <c r="A194">
        <f>COUNTIFS(B:B,B194)</f>
        <v>1</v>
      </c>
      <c r="B194" t="s">
        <v>725</v>
      </c>
      <c r="C194" t="s">
        <v>473</v>
      </c>
      <c r="D194" t="s">
        <v>726</v>
      </c>
      <c r="F194" t="s">
        <v>725</v>
      </c>
      <c r="G194" t="s">
        <v>473</v>
      </c>
      <c r="H194" t="s">
        <v>726</v>
      </c>
    </row>
    <row r="195" spans="1:8" x14ac:dyDescent="0.25">
      <c r="A195">
        <f>COUNTIFS(B:B,B195)</f>
        <v>1</v>
      </c>
      <c r="B195" t="s">
        <v>727</v>
      </c>
      <c r="C195" t="s">
        <v>728</v>
      </c>
      <c r="D195" t="s">
        <v>589</v>
      </c>
      <c r="F195" t="s">
        <v>727</v>
      </c>
      <c r="G195" t="s">
        <v>728</v>
      </c>
      <c r="H195" t="s">
        <v>589</v>
      </c>
    </row>
    <row r="196" spans="1:8" x14ac:dyDescent="0.25">
      <c r="A196">
        <f>COUNTIFS(B:B,B196)</f>
        <v>1</v>
      </c>
      <c r="B196" t="s">
        <v>729</v>
      </c>
      <c r="C196" t="s">
        <v>730</v>
      </c>
      <c r="D196" t="s">
        <v>562</v>
      </c>
      <c r="F196" t="s">
        <v>729</v>
      </c>
      <c r="G196" t="s">
        <v>730</v>
      </c>
      <c r="H196" t="s">
        <v>562</v>
      </c>
    </row>
    <row r="197" spans="1:8" x14ac:dyDescent="0.25">
      <c r="A197">
        <f>COUNTIFS(B:B,B197)</f>
        <v>1</v>
      </c>
      <c r="B197" t="s">
        <v>731</v>
      </c>
      <c r="C197" t="s">
        <v>732</v>
      </c>
      <c r="D197" t="s">
        <v>697</v>
      </c>
      <c r="F197" t="s">
        <v>731</v>
      </c>
      <c r="G197" t="s">
        <v>732</v>
      </c>
      <c r="H197" t="s">
        <v>697</v>
      </c>
    </row>
    <row r="198" spans="1:8" x14ac:dyDescent="0.25">
      <c r="A198">
        <f>COUNTIFS(B:B,B198)</f>
        <v>1</v>
      </c>
      <c r="B198" t="s">
        <v>733</v>
      </c>
      <c r="C198" t="s">
        <v>732</v>
      </c>
      <c r="D198" t="s">
        <v>602</v>
      </c>
      <c r="F198" t="s">
        <v>733</v>
      </c>
      <c r="G198" t="s">
        <v>732</v>
      </c>
      <c r="H198" t="s">
        <v>602</v>
      </c>
    </row>
    <row r="199" spans="1:8" x14ac:dyDescent="0.25">
      <c r="A199">
        <f>COUNTIFS(B:B,B199)</f>
        <v>1</v>
      </c>
      <c r="B199" t="str">
        <f>C199&amp;" "&amp;D199</f>
        <v>Patrick Boyd</v>
      </c>
      <c r="C199" t="s">
        <v>335</v>
      </c>
      <c r="D199" t="s">
        <v>336</v>
      </c>
      <c r="E199" t="s">
        <v>337</v>
      </c>
      <c r="F199" t="str">
        <f>G199&amp;" "&amp;H199</f>
        <v>Patrick Boyd</v>
      </c>
      <c r="G199" t="s">
        <v>335</v>
      </c>
      <c r="H199" t="s">
        <v>336</v>
      </c>
    </row>
    <row r="200" spans="1:8" x14ac:dyDescent="0.25">
      <c r="A200">
        <f>COUNTIFS(B:B,B200)</f>
        <v>1</v>
      </c>
      <c r="B200" t="str">
        <f>C200&amp;" "&amp;D200</f>
        <v>Patrick Gremell</v>
      </c>
      <c r="C200" t="s">
        <v>335</v>
      </c>
      <c r="D200" t="s">
        <v>338</v>
      </c>
      <c r="E200" t="s">
        <v>339</v>
      </c>
      <c r="F200" t="s">
        <v>734</v>
      </c>
      <c r="G200" t="s">
        <v>335</v>
      </c>
      <c r="H200" t="s">
        <v>338</v>
      </c>
    </row>
    <row r="201" spans="1:8" x14ac:dyDescent="0.25">
      <c r="A201">
        <f>COUNTIFS(B:B,B201)</f>
        <v>1</v>
      </c>
      <c r="B201" t="str">
        <f>C201&amp;" "&amp;D201</f>
        <v>Pete McIntyre</v>
      </c>
      <c r="C201" t="s">
        <v>340</v>
      </c>
      <c r="D201" t="s">
        <v>341</v>
      </c>
      <c r="E201" t="s">
        <v>342</v>
      </c>
      <c r="F201" t="s">
        <v>846</v>
      </c>
      <c r="G201" t="s">
        <v>340</v>
      </c>
      <c r="H201" t="s">
        <v>341</v>
      </c>
    </row>
    <row r="202" spans="1:8" x14ac:dyDescent="0.25">
      <c r="A202">
        <f>COUNTIFS(B:B,B202)</f>
        <v>1</v>
      </c>
      <c r="B202" t="str">
        <f>C202&amp;" "&amp;D202</f>
        <v>Quinn Staple</v>
      </c>
      <c r="C202" t="s">
        <v>343</v>
      </c>
      <c r="D202" t="s">
        <v>344</v>
      </c>
      <c r="E202" t="s">
        <v>345</v>
      </c>
      <c r="F202" t="s">
        <v>847</v>
      </c>
      <c r="G202" t="s">
        <v>343</v>
      </c>
      <c r="H202" t="s">
        <v>344</v>
      </c>
    </row>
    <row r="203" spans="1:8" x14ac:dyDescent="0.25">
      <c r="A203">
        <f>COUNTIFS(B:B,B203)</f>
        <v>1</v>
      </c>
      <c r="B203" t="s">
        <v>735</v>
      </c>
      <c r="C203" t="s">
        <v>343</v>
      </c>
      <c r="D203" t="s">
        <v>721</v>
      </c>
      <c r="F203" t="s">
        <v>735</v>
      </c>
      <c r="G203" t="s">
        <v>343</v>
      </c>
      <c r="H203" t="s">
        <v>721</v>
      </c>
    </row>
    <row r="204" spans="1:8" x14ac:dyDescent="0.25">
      <c r="A204">
        <f>COUNTIFS(B:B,B204)</f>
        <v>1</v>
      </c>
      <c r="B204" t="str">
        <f t="shared" ref="B204:B211" si="2">C204&amp;" "&amp;D204</f>
        <v>Riley Peterson</v>
      </c>
      <c r="C204" t="s">
        <v>346</v>
      </c>
      <c r="D204" t="s">
        <v>347</v>
      </c>
      <c r="E204" t="s">
        <v>348</v>
      </c>
      <c r="F204" t="s">
        <v>736</v>
      </c>
      <c r="G204" t="s">
        <v>346</v>
      </c>
      <c r="H204" t="s">
        <v>347</v>
      </c>
    </row>
    <row r="205" spans="1:8" x14ac:dyDescent="0.25">
      <c r="A205">
        <f>COUNTIFS(B:B,B205)</f>
        <v>1</v>
      </c>
      <c r="B205" t="str">
        <f t="shared" si="2"/>
        <v>Rohm Laxton</v>
      </c>
      <c r="C205" t="s">
        <v>349</v>
      </c>
      <c r="D205" t="s">
        <v>350</v>
      </c>
      <c r="E205" t="s">
        <v>351</v>
      </c>
      <c r="F205" t="s">
        <v>848</v>
      </c>
      <c r="G205" t="s">
        <v>349</v>
      </c>
      <c r="H205" t="s">
        <v>350</v>
      </c>
    </row>
    <row r="206" spans="1:8" x14ac:dyDescent="0.25">
      <c r="A206">
        <f>COUNTIFS(B:B,B206)</f>
        <v>1</v>
      </c>
      <c r="B206" t="str">
        <f t="shared" si="2"/>
        <v>Ryan Bessey</v>
      </c>
      <c r="C206" t="s">
        <v>352</v>
      </c>
      <c r="D206" t="s">
        <v>353</v>
      </c>
      <c r="E206" t="s">
        <v>354</v>
      </c>
      <c r="F206" t="s">
        <v>849</v>
      </c>
      <c r="G206" t="s">
        <v>352</v>
      </c>
      <c r="H206" t="s">
        <v>353</v>
      </c>
    </row>
    <row r="207" spans="1:8" x14ac:dyDescent="0.25">
      <c r="A207">
        <f>COUNTIFS(B:B,B207)</f>
        <v>1</v>
      </c>
      <c r="B207" t="str">
        <f t="shared" si="2"/>
        <v>Ryan McDaniel</v>
      </c>
      <c r="C207" t="s">
        <v>352</v>
      </c>
      <c r="D207" t="s">
        <v>355</v>
      </c>
      <c r="E207" t="s">
        <v>356</v>
      </c>
      <c r="F207" t="s">
        <v>737</v>
      </c>
      <c r="G207" t="s">
        <v>352</v>
      </c>
      <c r="H207" t="s">
        <v>355</v>
      </c>
    </row>
    <row r="208" spans="1:8" x14ac:dyDescent="0.25">
      <c r="A208">
        <f>COUNTIFS(B:B,B208)</f>
        <v>1</v>
      </c>
      <c r="B208" t="str">
        <f t="shared" si="2"/>
        <v>Sadeeq Haji</v>
      </c>
      <c r="C208" t="s">
        <v>357</v>
      </c>
      <c r="D208" t="s">
        <v>358</v>
      </c>
      <c r="E208" t="s">
        <v>359</v>
      </c>
      <c r="F208" t="s">
        <v>850</v>
      </c>
      <c r="G208" t="s">
        <v>357</v>
      </c>
      <c r="H208" t="s">
        <v>358</v>
      </c>
    </row>
    <row r="209" spans="1:8" x14ac:dyDescent="0.25">
      <c r="A209">
        <f>COUNTIFS(B:B,B209)</f>
        <v>1</v>
      </c>
      <c r="B209" t="str">
        <f t="shared" si="2"/>
        <v>Sameer Remtulla</v>
      </c>
      <c r="C209" t="s">
        <v>360</v>
      </c>
      <c r="D209" t="s">
        <v>361</v>
      </c>
      <c r="E209" t="s">
        <v>362</v>
      </c>
      <c r="F209" t="s">
        <v>738</v>
      </c>
      <c r="G209" t="s">
        <v>360</v>
      </c>
      <c r="H209" t="s">
        <v>361</v>
      </c>
    </row>
    <row r="210" spans="1:8" x14ac:dyDescent="0.25">
      <c r="A210">
        <f>COUNTIFS(B:B,B210)</f>
        <v>1</v>
      </c>
      <c r="B210" t="str">
        <f t="shared" si="2"/>
        <v>Samiuel Burgess</v>
      </c>
      <c r="C210" t="s">
        <v>363</v>
      </c>
      <c r="D210" t="s">
        <v>364</v>
      </c>
      <c r="E210" t="s">
        <v>365</v>
      </c>
      <c r="F210" t="s">
        <v>851</v>
      </c>
      <c r="G210" t="s">
        <v>366</v>
      </c>
      <c r="H210" t="s">
        <v>364</v>
      </c>
    </row>
    <row r="211" spans="1:8" x14ac:dyDescent="0.25">
      <c r="A211">
        <f>COUNTIFS(B:B,B211)</f>
        <v>1</v>
      </c>
      <c r="B211" t="str">
        <f t="shared" si="2"/>
        <v>Samuel Burgess</v>
      </c>
      <c r="C211" t="s">
        <v>366</v>
      </c>
      <c r="D211" t="s">
        <v>364</v>
      </c>
      <c r="E211" t="s">
        <v>367</v>
      </c>
      <c r="F211" t="s">
        <v>851</v>
      </c>
      <c r="G211" t="s">
        <v>366</v>
      </c>
      <c r="H211" t="s">
        <v>364</v>
      </c>
    </row>
    <row r="212" spans="1:8" x14ac:dyDescent="0.25">
      <c r="A212">
        <f>COUNTIFS(B:B,B212)</f>
        <v>1</v>
      </c>
      <c r="B212" t="s">
        <v>475</v>
      </c>
      <c r="C212" t="s">
        <v>476</v>
      </c>
      <c r="D212" t="s">
        <v>477</v>
      </c>
      <c r="F212" t="s">
        <v>475</v>
      </c>
      <c r="G212" t="s">
        <v>476</v>
      </c>
      <c r="H212" t="s">
        <v>477</v>
      </c>
    </row>
    <row r="213" spans="1:8" x14ac:dyDescent="0.25">
      <c r="A213">
        <f>COUNTIFS(B:B,B213)</f>
        <v>1</v>
      </c>
      <c r="B213" t="str">
        <f>C213&amp;" "&amp;D213</f>
        <v>Scott Annesley</v>
      </c>
      <c r="C213" t="s">
        <v>368</v>
      </c>
      <c r="D213" t="s">
        <v>369</v>
      </c>
      <c r="E213" t="s">
        <v>370</v>
      </c>
      <c r="F213" t="s">
        <v>852</v>
      </c>
      <c r="G213" t="s">
        <v>368</v>
      </c>
      <c r="H213" t="s">
        <v>369</v>
      </c>
    </row>
    <row r="214" spans="1:8" x14ac:dyDescent="0.25">
      <c r="A214">
        <f>COUNTIFS(B:B,B214)</f>
        <v>1</v>
      </c>
      <c r="B214" t="str">
        <f>C214&amp;" "&amp;D214</f>
        <v>Scott Bergen</v>
      </c>
      <c r="C214" t="s">
        <v>368</v>
      </c>
      <c r="D214" t="s">
        <v>371</v>
      </c>
      <c r="E214" t="s">
        <v>372</v>
      </c>
      <c r="F214" t="s">
        <v>739</v>
      </c>
      <c r="G214" t="s">
        <v>368</v>
      </c>
      <c r="H214" t="s">
        <v>371</v>
      </c>
    </row>
    <row r="215" spans="1:8" x14ac:dyDescent="0.25">
      <c r="A215">
        <f>COUNTIFS(B:B,B215)</f>
        <v>1</v>
      </c>
      <c r="B215" t="s">
        <v>740</v>
      </c>
      <c r="C215" t="s">
        <v>368</v>
      </c>
      <c r="D215" t="s">
        <v>741</v>
      </c>
      <c r="F215" t="s">
        <v>739</v>
      </c>
      <c r="G215" t="s">
        <v>368</v>
      </c>
      <c r="H215" t="s">
        <v>371</v>
      </c>
    </row>
    <row r="216" spans="1:8" x14ac:dyDescent="0.25">
      <c r="A216">
        <f>COUNTIFS(B:B,B216)</f>
        <v>1</v>
      </c>
      <c r="B216" t="str">
        <f>C216&amp;" "&amp;D216</f>
        <v>Sean Blackwell</v>
      </c>
      <c r="C216" t="s">
        <v>373</v>
      </c>
      <c r="D216" t="s">
        <v>374</v>
      </c>
      <c r="E216" t="s">
        <v>375</v>
      </c>
      <c r="F216" t="s">
        <v>742</v>
      </c>
      <c r="G216" t="s">
        <v>373</v>
      </c>
      <c r="H216" t="s">
        <v>374</v>
      </c>
    </row>
    <row r="217" spans="1:8" x14ac:dyDescent="0.25">
      <c r="A217">
        <f>COUNTIFS(B:B,B217)</f>
        <v>1</v>
      </c>
      <c r="B217" t="str">
        <f>C217&amp;" "&amp;D217</f>
        <v>Sean David</v>
      </c>
      <c r="C217" t="s">
        <v>373</v>
      </c>
      <c r="D217" t="s">
        <v>376</v>
      </c>
      <c r="E217" t="s">
        <v>377</v>
      </c>
      <c r="F217" t="s">
        <v>743</v>
      </c>
      <c r="G217" t="s">
        <v>373</v>
      </c>
      <c r="H217" t="s">
        <v>376</v>
      </c>
    </row>
    <row r="218" spans="1:8" x14ac:dyDescent="0.25">
      <c r="A218">
        <f>COUNTIFS(B:B,B218)</f>
        <v>1</v>
      </c>
      <c r="B218" t="str">
        <f>C218&amp;" "&amp;D218</f>
        <v>Shane Scully</v>
      </c>
      <c r="C218" t="s">
        <v>378</v>
      </c>
      <c r="D218" t="s">
        <v>379</v>
      </c>
      <c r="E218" t="s">
        <v>380</v>
      </c>
      <c r="F218" t="s">
        <v>853</v>
      </c>
      <c r="G218" t="s">
        <v>378</v>
      </c>
      <c r="H218" t="s">
        <v>379</v>
      </c>
    </row>
    <row r="219" spans="1:8" x14ac:dyDescent="0.25">
      <c r="A219">
        <f>COUNTIFS(B:B,B219)</f>
        <v>1</v>
      </c>
      <c r="B219" t="str">
        <f>C219&amp;" "&amp;D219</f>
        <v>Shane Towns</v>
      </c>
      <c r="C219" t="s">
        <v>378</v>
      </c>
      <c r="D219" t="s">
        <v>381</v>
      </c>
      <c r="E219" t="s">
        <v>382</v>
      </c>
      <c r="F219" t="s">
        <v>854</v>
      </c>
      <c r="G219" t="s">
        <v>378</v>
      </c>
      <c r="H219" t="s">
        <v>381</v>
      </c>
    </row>
    <row r="220" spans="1:8" x14ac:dyDescent="0.25">
      <c r="A220">
        <f>COUNTIFS(B:B,B220)</f>
        <v>1</v>
      </c>
      <c r="B220" t="s">
        <v>744</v>
      </c>
      <c r="C220" t="s">
        <v>745</v>
      </c>
      <c r="D220" t="s">
        <v>746</v>
      </c>
      <c r="F220" t="s">
        <v>749</v>
      </c>
      <c r="G220" t="s">
        <v>383</v>
      </c>
      <c r="H220" t="s">
        <v>384</v>
      </c>
    </row>
    <row r="221" spans="1:8" x14ac:dyDescent="0.25">
      <c r="A221">
        <f>COUNTIFS(B:B,B221)</f>
        <v>1</v>
      </c>
      <c r="B221" t="s">
        <v>747</v>
      </c>
      <c r="C221" t="s">
        <v>383</v>
      </c>
      <c r="D221" t="s">
        <v>748</v>
      </c>
      <c r="F221" t="s">
        <v>749</v>
      </c>
      <c r="G221" t="s">
        <v>383</v>
      </c>
      <c r="H221" t="s">
        <v>384</v>
      </c>
    </row>
    <row r="222" spans="1:8" x14ac:dyDescent="0.25">
      <c r="A222">
        <f>COUNTIFS(B:B,B222)</f>
        <v>1</v>
      </c>
      <c r="B222" t="str">
        <f>C222&amp;" "&amp;D222</f>
        <v>Shawn Getty</v>
      </c>
      <c r="C222" t="s">
        <v>383</v>
      </c>
      <c r="D222" t="s">
        <v>384</v>
      </c>
      <c r="E222" t="s">
        <v>385</v>
      </c>
      <c r="F222" t="s">
        <v>749</v>
      </c>
      <c r="G222" t="s">
        <v>383</v>
      </c>
      <c r="H222" t="s">
        <v>384</v>
      </c>
    </row>
    <row r="223" spans="1:8" x14ac:dyDescent="0.25">
      <c r="A223">
        <f>COUNTIFS(B:B,B223)</f>
        <v>1</v>
      </c>
      <c r="B223" t="str">
        <f>C223&amp;" "&amp;D223</f>
        <v>Spencer Hildebrandt</v>
      </c>
      <c r="C223" t="s">
        <v>386</v>
      </c>
      <c r="D223" t="s">
        <v>387</v>
      </c>
      <c r="E223" t="s">
        <v>388</v>
      </c>
      <c r="F223" t="s">
        <v>750</v>
      </c>
      <c r="G223" t="s">
        <v>386</v>
      </c>
      <c r="H223" t="s">
        <v>387</v>
      </c>
    </row>
    <row r="224" spans="1:8" x14ac:dyDescent="0.25">
      <c r="A224">
        <f>COUNTIFS(B:B,B224)</f>
        <v>1</v>
      </c>
      <c r="B224" t="s">
        <v>751</v>
      </c>
      <c r="C224" t="s">
        <v>386</v>
      </c>
      <c r="D224" t="s">
        <v>752</v>
      </c>
      <c r="F224" t="s">
        <v>750</v>
      </c>
      <c r="G224" t="s">
        <v>386</v>
      </c>
      <c r="H224" t="s">
        <v>387</v>
      </c>
    </row>
    <row r="225" spans="1:8" x14ac:dyDescent="0.25">
      <c r="A225">
        <f>COUNTIFS(B:B,B225)</f>
        <v>1</v>
      </c>
      <c r="B225" t="s">
        <v>753</v>
      </c>
      <c r="C225" t="s">
        <v>386</v>
      </c>
      <c r="D225" t="s">
        <v>754</v>
      </c>
      <c r="F225" t="s">
        <v>750</v>
      </c>
      <c r="G225" t="s">
        <v>386</v>
      </c>
      <c r="H225" t="s">
        <v>387</v>
      </c>
    </row>
    <row r="226" spans="1:8" x14ac:dyDescent="0.25">
      <c r="A226">
        <f>COUNTIFS(B:B,B226)</f>
        <v>1</v>
      </c>
      <c r="B226" t="str">
        <f>C226&amp;" "&amp;D226</f>
        <v>Stefan Migotti</v>
      </c>
      <c r="C226" t="s">
        <v>443</v>
      </c>
      <c r="D226" t="s">
        <v>444</v>
      </c>
      <c r="E226" t="s">
        <v>445</v>
      </c>
      <c r="F226" t="s">
        <v>855</v>
      </c>
      <c r="G226" t="s">
        <v>443</v>
      </c>
      <c r="H226" t="s">
        <v>444</v>
      </c>
    </row>
    <row r="227" spans="1:8" x14ac:dyDescent="0.25">
      <c r="A227">
        <f>COUNTIFS(B:B,B227)</f>
        <v>1</v>
      </c>
      <c r="B227" t="s">
        <v>755</v>
      </c>
      <c r="C227" t="s">
        <v>756</v>
      </c>
      <c r="D227" t="s">
        <v>199</v>
      </c>
      <c r="F227" t="s">
        <v>755</v>
      </c>
      <c r="G227" t="s">
        <v>756</v>
      </c>
      <c r="H227" t="s">
        <v>199</v>
      </c>
    </row>
    <row r="228" spans="1:8" x14ac:dyDescent="0.25">
      <c r="A228">
        <f>COUNTIFS(B:B,B228)</f>
        <v>1</v>
      </c>
      <c r="B228" t="str">
        <f>C228&amp;" "&amp;D228</f>
        <v>Steven Ritchie</v>
      </c>
      <c r="C228" t="s">
        <v>389</v>
      </c>
      <c r="D228" t="s">
        <v>390</v>
      </c>
      <c r="E228" t="s">
        <v>391</v>
      </c>
      <c r="F228" t="s">
        <v>856</v>
      </c>
      <c r="G228" t="s">
        <v>389</v>
      </c>
      <c r="H228" t="s">
        <v>390</v>
      </c>
    </row>
    <row r="229" spans="1:8" x14ac:dyDescent="0.25">
      <c r="A229">
        <f>COUNTIFS(B:B,B229)</f>
        <v>1</v>
      </c>
      <c r="B229" t="s">
        <v>478</v>
      </c>
      <c r="C229" t="s">
        <v>479</v>
      </c>
      <c r="D229" t="s">
        <v>480</v>
      </c>
      <c r="F229" t="s">
        <v>478</v>
      </c>
      <c r="G229" t="s">
        <v>479</v>
      </c>
      <c r="H229" t="s">
        <v>480</v>
      </c>
    </row>
    <row r="230" spans="1:8" x14ac:dyDescent="0.25">
      <c r="A230">
        <f>COUNTIFS(B:B,B230)</f>
        <v>1</v>
      </c>
      <c r="B230" t="str">
        <f>C230&amp;" "&amp;D230</f>
        <v>Stuart Onychuk</v>
      </c>
      <c r="C230" t="s">
        <v>392</v>
      </c>
      <c r="D230" t="s">
        <v>393</v>
      </c>
      <c r="E230" t="s">
        <v>394</v>
      </c>
      <c r="F230" t="s">
        <v>757</v>
      </c>
      <c r="G230" t="s">
        <v>392</v>
      </c>
      <c r="H230" t="s">
        <v>393</v>
      </c>
    </row>
    <row r="231" spans="1:8" x14ac:dyDescent="0.25">
      <c r="A231">
        <f>COUNTIFS(B:B,B231)</f>
        <v>1</v>
      </c>
      <c r="B231" t="str">
        <f>C231&amp;" "&amp;D231</f>
        <v>Tal Forcade</v>
      </c>
      <c r="C231" t="s">
        <v>395</v>
      </c>
      <c r="D231" t="s">
        <v>396</v>
      </c>
      <c r="E231" t="s">
        <v>397</v>
      </c>
      <c r="F231" t="s">
        <v>758</v>
      </c>
      <c r="G231" t="s">
        <v>395</v>
      </c>
      <c r="H231" t="s">
        <v>396</v>
      </c>
    </row>
    <row r="232" spans="1:8" x14ac:dyDescent="0.25">
      <c r="A232">
        <f>COUNTIFS(B:B,B232)</f>
        <v>1</v>
      </c>
      <c r="B232" t="str">
        <f>C232&amp;" "&amp;D232</f>
        <v>Tanner Maciver</v>
      </c>
      <c r="C232" t="s">
        <v>398</v>
      </c>
      <c r="D232" t="s">
        <v>399</v>
      </c>
      <c r="E232" t="s">
        <v>400</v>
      </c>
      <c r="F232" t="s">
        <v>857</v>
      </c>
      <c r="G232" t="s">
        <v>398</v>
      </c>
      <c r="H232" t="s">
        <v>399</v>
      </c>
    </row>
    <row r="233" spans="1:8" x14ac:dyDescent="0.25">
      <c r="A233">
        <f>COUNTIFS(B:B,B233)</f>
        <v>1</v>
      </c>
      <c r="B233" t="s">
        <v>759</v>
      </c>
      <c r="C233" t="s">
        <v>398</v>
      </c>
      <c r="D233" t="s">
        <v>760</v>
      </c>
      <c r="F233" t="s">
        <v>857</v>
      </c>
      <c r="G233" t="s">
        <v>398</v>
      </c>
      <c r="H233" t="s">
        <v>399</v>
      </c>
    </row>
    <row r="234" spans="1:8" x14ac:dyDescent="0.25">
      <c r="A234">
        <f>COUNTIFS(B:B,B234)</f>
        <v>1</v>
      </c>
      <c r="B234" t="s">
        <v>761</v>
      </c>
      <c r="C234" t="s">
        <v>762</v>
      </c>
      <c r="D234" t="s">
        <v>763</v>
      </c>
      <c r="F234" t="s">
        <v>761</v>
      </c>
      <c r="G234" t="s">
        <v>762</v>
      </c>
      <c r="H234" t="s">
        <v>763</v>
      </c>
    </row>
    <row r="235" spans="1:8" x14ac:dyDescent="0.25">
      <c r="A235">
        <f>COUNTIFS(B:B,B235)</f>
        <v>1</v>
      </c>
      <c r="B235" t="s">
        <v>764</v>
      </c>
      <c r="C235" t="s">
        <v>762</v>
      </c>
      <c r="D235" t="s">
        <v>765</v>
      </c>
      <c r="F235" t="s">
        <v>761</v>
      </c>
      <c r="G235" t="s">
        <v>762</v>
      </c>
      <c r="H235" t="s">
        <v>763</v>
      </c>
    </row>
    <row r="236" spans="1:8" x14ac:dyDescent="0.25">
      <c r="A236">
        <f>COUNTIFS(B:B,B236)</f>
        <v>1</v>
      </c>
      <c r="B236" t="s">
        <v>766</v>
      </c>
      <c r="C236" t="s">
        <v>767</v>
      </c>
      <c r="D236" t="s">
        <v>210</v>
      </c>
      <c r="F236" t="s">
        <v>766</v>
      </c>
      <c r="G236" t="s">
        <v>767</v>
      </c>
      <c r="H236" t="s">
        <v>210</v>
      </c>
    </row>
    <row r="237" spans="1:8" x14ac:dyDescent="0.25">
      <c r="A237">
        <f>COUNTIFS(B:B,B237)</f>
        <v>1</v>
      </c>
      <c r="B237" t="s">
        <v>768</v>
      </c>
      <c r="C237" t="s">
        <v>769</v>
      </c>
      <c r="D237" t="s">
        <v>770</v>
      </c>
      <c r="F237" t="s">
        <v>768</v>
      </c>
      <c r="G237" t="s">
        <v>769</v>
      </c>
      <c r="H237" t="s">
        <v>770</v>
      </c>
    </row>
    <row r="238" spans="1:8" x14ac:dyDescent="0.25">
      <c r="A238">
        <f>COUNTIFS(B:B,B238)</f>
        <v>1</v>
      </c>
      <c r="B238" t="str">
        <f>C238&amp;" "&amp;D238</f>
        <v>Travis Bohnet</v>
      </c>
      <c r="C238" t="s">
        <v>401</v>
      </c>
      <c r="D238" t="s">
        <v>402</v>
      </c>
      <c r="E238" t="s">
        <v>403</v>
      </c>
      <c r="F238" t="s">
        <v>771</v>
      </c>
      <c r="G238" t="s">
        <v>401</v>
      </c>
      <c r="H238" t="s">
        <v>402</v>
      </c>
    </row>
    <row r="239" spans="1:8" x14ac:dyDescent="0.25">
      <c r="A239">
        <f>COUNTIFS(B:B,B239)</f>
        <v>1</v>
      </c>
      <c r="B239" t="s">
        <v>772</v>
      </c>
      <c r="C239" t="s">
        <v>401</v>
      </c>
      <c r="D239" t="s">
        <v>773</v>
      </c>
      <c r="F239" t="s">
        <v>771</v>
      </c>
      <c r="G239" t="s">
        <v>401</v>
      </c>
      <c r="H239" t="s">
        <v>402</v>
      </c>
    </row>
    <row r="240" spans="1:8" x14ac:dyDescent="0.25">
      <c r="A240">
        <f>COUNTIFS(B:B,B240)</f>
        <v>1</v>
      </c>
      <c r="B240" t="s">
        <v>774</v>
      </c>
      <c r="C240" t="s">
        <v>401</v>
      </c>
      <c r="D240" t="s">
        <v>775</v>
      </c>
      <c r="F240" t="s">
        <v>776</v>
      </c>
      <c r="G240" t="s">
        <v>401</v>
      </c>
      <c r="H240" t="s">
        <v>777</v>
      </c>
    </row>
    <row r="241" spans="1:8" x14ac:dyDescent="0.25">
      <c r="A241">
        <f>COUNTIFS(B:B,B241)</f>
        <v>1</v>
      </c>
      <c r="B241" t="s">
        <v>776</v>
      </c>
      <c r="C241" t="s">
        <v>401</v>
      </c>
      <c r="D241" t="s">
        <v>777</v>
      </c>
      <c r="F241" t="s">
        <v>776</v>
      </c>
      <c r="G241" t="s">
        <v>401</v>
      </c>
      <c r="H241" t="s">
        <v>777</v>
      </c>
    </row>
    <row r="242" spans="1:8" x14ac:dyDescent="0.25">
      <c r="A242">
        <f>COUNTIFS(B:B,B242)</f>
        <v>1</v>
      </c>
      <c r="B242" t="s">
        <v>778</v>
      </c>
      <c r="C242" t="s">
        <v>779</v>
      </c>
      <c r="D242" t="s">
        <v>780</v>
      </c>
      <c r="F242" t="s">
        <v>778</v>
      </c>
      <c r="G242" t="s">
        <v>779</v>
      </c>
      <c r="H242" t="s">
        <v>780</v>
      </c>
    </row>
    <row r="243" spans="1:8" x14ac:dyDescent="0.25">
      <c r="A243">
        <f>COUNTIFS(B:B,B243)</f>
        <v>1</v>
      </c>
      <c r="B243" t="s">
        <v>781</v>
      </c>
      <c r="C243" t="s">
        <v>779</v>
      </c>
      <c r="D243" t="s">
        <v>782</v>
      </c>
      <c r="F243" t="s">
        <v>781</v>
      </c>
      <c r="G243" t="s">
        <v>779</v>
      </c>
      <c r="H243" t="s">
        <v>782</v>
      </c>
    </row>
    <row r="244" spans="1:8" x14ac:dyDescent="0.25">
      <c r="A244">
        <f>COUNTIFS(B:B,B244)</f>
        <v>1</v>
      </c>
      <c r="B244" t="s">
        <v>783</v>
      </c>
      <c r="C244" t="s">
        <v>779</v>
      </c>
      <c r="D244" t="s">
        <v>418</v>
      </c>
      <c r="F244" t="s">
        <v>783</v>
      </c>
      <c r="G244" t="s">
        <v>779</v>
      </c>
      <c r="H244" t="s">
        <v>418</v>
      </c>
    </row>
    <row r="245" spans="1:8" x14ac:dyDescent="0.25">
      <c r="A245">
        <f>COUNTIFS(B:B,B245)</f>
        <v>1</v>
      </c>
      <c r="B245" t="s">
        <v>784</v>
      </c>
      <c r="C245" t="s">
        <v>785</v>
      </c>
      <c r="D245" t="s">
        <v>786</v>
      </c>
      <c r="F245" t="s">
        <v>784</v>
      </c>
      <c r="G245" t="s">
        <v>785</v>
      </c>
      <c r="H245" t="s">
        <v>786</v>
      </c>
    </row>
    <row r="246" spans="1:8" x14ac:dyDescent="0.25">
      <c r="A246">
        <f>COUNTIFS(B:B,B246)</f>
        <v>1</v>
      </c>
      <c r="B246" t="s">
        <v>787</v>
      </c>
      <c r="C246" t="s">
        <v>788</v>
      </c>
      <c r="D246" t="s">
        <v>789</v>
      </c>
      <c r="F246" t="s">
        <v>787</v>
      </c>
      <c r="G246" t="s">
        <v>788</v>
      </c>
      <c r="H246" t="s">
        <v>789</v>
      </c>
    </row>
    <row r="247" spans="1:8" x14ac:dyDescent="0.25">
      <c r="A247">
        <f>COUNTIFS(B:B,B247)</f>
        <v>1</v>
      </c>
      <c r="B247" t="s">
        <v>790</v>
      </c>
      <c r="C247" t="s">
        <v>788</v>
      </c>
      <c r="D247" t="s">
        <v>791</v>
      </c>
      <c r="F247" t="s">
        <v>787</v>
      </c>
      <c r="G247" t="s">
        <v>788</v>
      </c>
      <c r="H247" t="s">
        <v>789</v>
      </c>
    </row>
    <row r="248" spans="1:8" x14ac:dyDescent="0.25">
      <c r="A248">
        <f>COUNTIFS(B:B,B248)</f>
        <v>1</v>
      </c>
      <c r="B248" t="s">
        <v>792</v>
      </c>
      <c r="C248" t="s">
        <v>788</v>
      </c>
      <c r="D248" t="s">
        <v>793</v>
      </c>
      <c r="F248" t="s">
        <v>792</v>
      </c>
      <c r="G248" t="s">
        <v>788</v>
      </c>
      <c r="H248" t="s">
        <v>793</v>
      </c>
    </row>
    <row r="249" spans="1:8" x14ac:dyDescent="0.25">
      <c r="A249">
        <f>COUNTIFS(B:B,B249)</f>
        <v>1</v>
      </c>
      <c r="B249" t="str">
        <f>C249&amp;" "&amp;D249</f>
        <v>Vince Gilligan</v>
      </c>
      <c r="C249" t="s">
        <v>404</v>
      </c>
      <c r="D249" t="s">
        <v>252</v>
      </c>
      <c r="E249" t="s">
        <v>405</v>
      </c>
      <c r="F249" t="s">
        <v>858</v>
      </c>
      <c r="G249" t="s">
        <v>404</v>
      </c>
      <c r="H249" t="s">
        <v>252</v>
      </c>
    </row>
    <row r="250" spans="1:8" x14ac:dyDescent="0.25">
      <c r="A250">
        <f>COUNTIFS(B:B,B250)</f>
        <v>1</v>
      </c>
      <c r="B250" t="str">
        <f>C250&amp;" "&amp;D250</f>
        <v>Wade Hill</v>
      </c>
      <c r="C250" t="s">
        <v>406</v>
      </c>
      <c r="D250" t="s">
        <v>258</v>
      </c>
      <c r="E250" t="s">
        <v>407</v>
      </c>
      <c r="F250" t="s">
        <v>859</v>
      </c>
      <c r="G250" t="s">
        <v>406</v>
      </c>
      <c r="H250" t="s">
        <v>258</v>
      </c>
    </row>
    <row r="251" spans="1:8" x14ac:dyDescent="0.25">
      <c r="A251">
        <f>COUNTIFS(B:B,B251)</f>
        <v>1</v>
      </c>
      <c r="B251" t="str">
        <f>C251&amp;" "&amp;D251</f>
        <v>William Ford</v>
      </c>
      <c r="C251" t="s">
        <v>408</v>
      </c>
      <c r="D251" t="s">
        <v>409</v>
      </c>
      <c r="E251" t="s">
        <v>410</v>
      </c>
      <c r="F251" t="s">
        <v>794</v>
      </c>
      <c r="G251" t="s">
        <v>408</v>
      </c>
      <c r="H251" t="s">
        <v>409</v>
      </c>
    </row>
    <row r="252" spans="1:8" x14ac:dyDescent="0.25">
      <c r="A252">
        <f>COUNTIFS(B:B,B252)</f>
        <v>1</v>
      </c>
      <c r="B252" t="str">
        <f>C252&amp;" "&amp;D252</f>
        <v>William McDaniel</v>
      </c>
      <c r="C252" t="s">
        <v>408</v>
      </c>
      <c r="D252" t="s">
        <v>355</v>
      </c>
      <c r="E252" t="s">
        <v>411</v>
      </c>
      <c r="F252" t="s">
        <v>860</v>
      </c>
      <c r="G252" t="s">
        <v>408</v>
      </c>
      <c r="H252" t="s">
        <v>355</v>
      </c>
    </row>
    <row r="253" spans="1:8" x14ac:dyDescent="0.25">
      <c r="A253">
        <f>COUNTIFS(B:B,B253)</f>
        <v>1</v>
      </c>
      <c r="B253" t="s">
        <v>795</v>
      </c>
      <c r="C253" t="s">
        <v>796</v>
      </c>
      <c r="D253" t="s">
        <v>374</v>
      </c>
      <c r="F253" t="s">
        <v>795</v>
      </c>
      <c r="G253" t="s">
        <v>796</v>
      </c>
      <c r="H253" t="s">
        <v>374</v>
      </c>
    </row>
    <row r="254" spans="1:8" x14ac:dyDescent="0.25">
      <c r="A254">
        <f>COUNTIFS(B:B,B254)</f>
        <v>1</v>
      </c>
      <c r="B254" t="str">
        <f>C254&amp;" "&amp;D254</f>
        <v>Zachary Blackwell</v>
      </c>
      <c r="C254" t="s">
        <v>415</v>
      </c>
      <c r="D254" t="s">
        <v>374</v>
      </c>
      <c r="E254" t="s">
        <v>416</v>
      </c>
      <c r="F254" t="s">
        <v>795</v>
      </c>
      <c r="G254" t="s">
        <v>796</v>
      </c>
      <c r="H254" t="s">
        <v>374</v>
      </c>
    </row>
    <row r="255" spans="1:8" x14ac:dyDescent="0.25">
      <c r="A255">
        <f>COUNTIFS(B:B,B255)</f>
        <v>1</v>
      </c>
      <c r="B255" t="s">
        <v>797</v>
      </c>
      <c r="C255" t="s">
        <v>796</v>
      </c>
      <c r="D255" t="s">
        <v>798</v>
      </c>
      <c r="F255" t="s">
        <v>797</v>
      </c>
      <c r="G255" t="s">
        <v>796</v>
      </c>
      <c r="H255" t="s">
        <v>798</v>
      </c>
    </row>
    <row r="256" spans="1:8" x14ac:dyDescent="0.25">
      <c r="A256">
        <f>COUNTIFS(B:B,B256)</f>
        <v>1</v>
      </c>
      <c r="B256" t="str">
        <f>C256&amp;" "&amp;D256</f>
        <v>Zach Carter</v>
      </c>
      <c r="C256" t="s">
        <v>412</v>
      </c>
      <c r="D256" t="s">
        <v>413</v>
      </c>
      <c r="E256" t="s">
        <v>414</v>
      </c>
      <c r="F256" t="s">
        <v>861</v>
      </c>
      <c r="G256" t="s">
        <v>412</v>
      </c>
      <c r="H256" t="s">
        <v>413</v>
      </c>
    </row>
    <row r="257" spans="1:8" x14ac:dyDescent="0.25">
      <c r="A257">
        <f>COUNTIFS(B:B,B257)</f>
        <v>1</v>
      </c>
      <c r="B257" t="s">
        <v>799</v>
      </c>
      <c r="C257" t="s">
        <v>412</v>
      </c>
      <c r="D257" t="s">
        <v>800</v>
      </c>
      <c r="F257" t="s">
        <v>799</v>
      </c>
      <c r="G257" t="s">
        <v>412</v>
      </c>
      <c r="H257" t="s">
        <v>800</v>
      </c>
    </row>
    <row r="258" spans="1:8" x14ac:dyDescent="0.25">
      <c r="A258">
        <f>COUNTIFS(B:B,B258)</f>
        <v>1</v>
      </c>
      <c r="B258" t="str">
        <f>C258&amp;" "&amp;D258</f>
        <v>Zee Hamilton</v>
      </c>
      <c r="C258" t="s">
        <v>417</v>
      </c>
      <c r="D258" t="s">
        <v>418</v>
      </c>
      <c r="E258" t="s">
        <v>419</v>
      </c>
      <c r="F258" t="s">
        <v>481</v>
      </c>
      <c r="G258" t="s">
        <v>417</v>
      </c>
      <c r="H258" t="s">
        <v>418</v>
      </c>
    </row>
    <row r="259" spans="1:8" x14ac:dyDescent="0.25">
      <c r="A259">
        <f>COUNTIFS(B:B,B259)</f>
        <v>1</v>
      </c>
      <c r="B259" t="s">
        <v>801</v>
      </c>
      <c r="C259" t="s">
        <v>417</v>
      </c>
      <c r="D259" t="s">
        <v>802</v>
      </c>
      <c r="F259" t="s">
        <v>481</v>
      </c>
      <c r="G259" t="s">
        <v>417</v>
      </c>
      <c r="H259" t="s">
        <v>418</v>
      </c>
    </row>
  </sheetData>
  <autoFilter ref="A1:H259" xr:uid="{A5F02E30-E126-491B-9A75-50C1112870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Map</vt:lpstr>
      <vt:lpstr>Season Map</vt:lpstr>
      <vt:lpstr>Player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Swinden</dc:creator>
  <cp:lastModifiedBy>Daniel Swinden</cp:lastModifiedBy>
  <dcterms:created xsi:type="dcterms:W3CDTF">2026-07-16T15:41:13Z</dcterms:created>
  <dcterms:modified xsi:type="dcterms:W3CDTF">2026-07-17T02:05:18Z</dcterms:modified>
</cp:coreProperties>
</file>